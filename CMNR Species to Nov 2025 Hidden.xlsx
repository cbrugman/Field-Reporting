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Code\Nature preserve reporting - Antigravity\"/>
    </mc:Choice>
  </mc:AlternateContent>
  <xr:revisionPtr revIDLastSave="0" documentId="13_ncr:1_{342024FC-C517-4B04-B335-A69F3F3B11A4}" xr6:coauthVersionLast="47" xr6:coauthVersionMax="47" xr10:uidLastSave="{00000000-0000-0000-0000-000000000000}"/>
  <bookViews>
    <workbookView xWindow="4125" yWindow="1395" windowWidth="21480" windowHeight="14430" xr2:uid="{1428C6B2-B9E8-434D-A3EF-3627A21E4307}"/>
  </bookViews>
  <sheets>
    <sheet name="Species"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56" i="2" l="1"/>
  <c r="K155" i="2"/>
  <c r="K231" i="2"/>
  <c r="K160" i="2"/>
  <c r="K411" i="2"/>
  <c r="K410" i="2"/>
  <c r="K409" i="2"/>
  <c r="K412" i="2"/>
  <c r="K408" i="2"/>
  <c r="K405" i="2"/>
  <c r="K404" i="2"/>
  <c r="K403" i="2"/>
  <c r="K402" i="2"/>
  <c r="K399" i="2"/>
  <c r="K383" i="2"/>
  <c r="K381" i="2"/>
  <c r="K378" i="2"/>
  <c r="K364" i="2"/>
  <c r="K330" i="2"/>
  <c r="K319" i="2"/>
  <c r="K302" i="2"/>
  <c r="K300" i="2"/>
  <c r="K279" i="2"/>
  <c r="K278" i="2"/>
  <c r="K251" i="2"/>
  <c r="K246" i="2"/>
  <c r="K243" i="2"/>
  <c r="K238" i="2"/>
  <c r="K237" i="2"/>
  <c r="K215" i="2"/>
  <c r="K202" i="2"/>
  <c r="K169" i="2"/>
  <c r="K164" i="2"/>
  <c r="K148" i="2"/>
  <c r="K145" i="2"/>
  <c r="K143" i="2"/>
  <c r="K124" i="2"/>
  <c r="K115" i="2"/>
  <c r="K102" i="2"/>
  <c r="K71" i="2"/>
  <c r="K21" i="2"/>
  <c r="K365" i="2"/>
  <c r="K147" i="2"/>
  <c r="K340" i="2"/>
  <c r="K341" i="2"/>
  <c r="K342" i="2"/>
  <c r="K343" i="2"/>
  <c r="K344" i="2"/>
  <c r="K345" i="2"/>
  <c r="K346" i="2"/>
  <c r="K347" i="2"/>
  <c r="K348" i="2"/>
  <c r="K349" i="2"/>
  <c r="K350" i="2"/>
  <c r="K351" i="2"/>
  <c r="K326" i="2"/>
  <c r="K327" i="2"/>
  <c r="K328" i="2"/>
  <c r="K329" i="2"/>
  <c r="K331" i="2"/>
  <c r="K332" i="2"/>
  <c r="K333" i="2"/>
  <c r="K334" i="2"/>
  <c r="K335" i="2"/>
  <c r="K336" i="2"/>
  <c r="K337" i="2"/>
  <c r="K338" i="2"/>
  <c r="K339" i="2"/>
  <c r="K352" i="2"/>
  <c r="K353" i="2"/>
  <c r="K354" i="2"/>
  <c r="K355" i="2"/>
  <c r="K356" i="2"/>
  <c r="K357" i="2"/>
  <c r="K358" i="2"/>
  <c r="K359" i="2"/>
  <c r="K360" i="2"/>
  <c r="K361" i="2"/>
  <c r="K362" i="2"/>
  <c r="K363" i="2"/>
  <c r="K366" i="2"/>
  <c r="K367" i="2"/>
  <c r="K368" i="2"/>
  <c r="K369" i="2"/>
  <c r="K370" i="2"/>
  <c r="K371" i="2"/>
  <c r="K372" i="2"/>
  <c r="K373" i="2"/>
  <c r="K374" i="2"/>
  <c r="K375" i="2"/>
  <c r="K376" i="2"/>
  <c r="K377" i="2"/>
  <c r="K379" i="2"/>
  <c r="K380" i="2"/>
  <c r="K382" i="2"/>
  <c r="K384" i="2"/>
  <c r="K385" i="2"/>
  <c r="K386" i="2"/>
  <c r="K387" i="2"/>
  <c r="K388" i="2"/>
  <c r="K389" i="2"/>
  <c r="K390" i="2"/>
  <c r="K391" i="2"/>
  <c r="K392" i="2"/>
  <c r="K393" i="2"/>
  <c r="K394" i="2"/>
  <c r="K395" i="2"/>
  <c r="K396" i="2"/>
  <c r="K397" i="2"/>
  <c r="K398" i="2"/>
  <c r="K400" i="2"/>
  <c r="K401" i="2"/>
  <c r="K406" i="2"/>
  <c r="K407" i="2"/>
  <c r="K15" i="2"/>
  <c r="K4" i="2"/>
  <c r="K7" i="2"/>
  <c r="K8" i="2"/>
  <c r="K9" i="2"/>
  <c r="K10" i="2"/>
  <c r="K11" i="2"/>
  <c r="K12" i="2"/>
  <c r="K13" i="2"/>
  <c r="K14" i="2"/>
  <c r="K16" i="2"/>
  <c r="K17" i="2"/>
  <c r="K18" i="2"/>
  <c r="K19" i="2"/>
  <c r="K20"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3" i="2"/>
  <c r="K104" i="2"/>
  <c r="K105" i="2"/>
  <c r="K106" i="2"/>
  <c r="K107" i="2"/>
  <c r="K108" i="2"/>
  <c r="K109" i="2"/>
  <c r="K110" i="2"/>
  <c r="K111" i="2"/>
  <c r="K112" i="2"/>
  <c r="K113" i="2"/>
  <c r="K114" i="2"/>
  <c r="K116" i="2"/>
  <c r="K117" i="2"/>
  <c r="K118" i="2"/>
  <c r="K119" i="2"/>
  <c r="K120" i="2"/>
  <c r="K121" i="2"/>
  <c r="K122" i="2"/>
  <c r="K123" i="2"/>
  <c r="K125" i="2"/>
  <c r="K126" i="2"/>
  <c r="K127" i="2"/>
  <c r="K128" i="2"/>
  <c r="K129" i="2"/>
  <c r="K130" i="2"/>
  <c r="K131" i="2"/>
  <c r="K132" i="2"/>
  <c r="K133" i="2"/>
  <c r="K134" i="2"/>
  <c r="K135" i="2"/>
  <c r="K136" i="2"/>
  <c r="K137" i="2"/>
  <c r="K138" i="2"/>
  <c r="K139" i="2"/>
  <c r="K140" i="2"/>
  <c r="K141" i="2"/>
  <c r="K142" i="2"/>
  <c r="K144" i="2"/>
  <c r="K146" i="2"/>
  <c r="K149" i="2"/>
  <c r="K150" i="2"/>
  <c r="K151" i="2"/>
  <c r="K152" i="2"/>
  <c r="K153" i="2"/>
  <c r="K154" i="2"/>
  <c r="K157" i="2"/>
  <c r="K158" i="2"/>
  <c r="K159" i="2"/>
  <c r="K161" i="2"/>
  <c r="K162" i="2"/>
  <c r="K163" i="2"/>
  <c r="K165" i="2"/>
  <c r="K166" i="2"/>
  <c r="K167" i="2"/>
  <c r="K168"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3" i="2"/>
  <c r="K204" i="2"/>
  <c r="K205" i="2"/>
  <c r="K206" i="2"/>
  <c r="K207" i="2"/>
  <c r="K208" i="2"/>
  <c r="K209" i="2"/>
  <c r="K210" i="2"/>
  <c r="K211" i="2"/>
  <c r="K212" i="2"/>
  <c r="K213" i="2"/>
  <c r="K214" i="2"/>
  <c r="K216" i="2"/>
  <c r="K217" i="2"/>
  <c r="K218" i="2"/>
  <c r="K219" i="2"/>
  <c r="K220" i="2"/>
  <c r="K221" i="2"/>
  <c r="K222" i="2"/>
  <c r="K223" i="2"/>
  <c r="K224" i="2"/>
  <c r="K225" i="2"/>
  <c r="K226" i="2"/>
  <c r="K227" i="2"/>
  <c r="K228" i="2"/>
  <c r="K229" i="2"/>
  <c r="K230" i="2"/>
  <c r="K232" i="2"/>
  <c r="K233" i="2"/>
  <c r="K234" i="2"/>
  <c r="K235" i="2"/>
  <c r="K236" i="2"/>
  <c r="K239" i="2"/>
  <c r="K240" i="2"/>
  <c r="K241" i="2"/>
  <c r="K242" i="2"/>
  <c r="K244" i="2"/>
  <c r="K245" i="2"/>
  <c r="K247" i="2"/>
  <c r="K248" i="2"/>
  <c r="K249" i="2"/>
  <c r="K250"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80" i="2"/>
  <c r="K281" i="2"/>
  <c r="K282" i="2"/>
  <c r="K283" i="2"/>
  <c r="K284" i="2"/>
  <c r="K285" i="2"/>
  <c r="K286" i="2"/>
  <c r="K287" i="2"/>
  <c r="K288" i="2"/>
  <c r="K289" i="2"/>
  <c r="K290" i="2"/>
  <c r="K291" i="2"/>
  <c r="K292" i="2"/>
  <c r="K293" i="2"/>
  <c r="K294" i="2"/>
  <c r="K295" i="2"/>
  <c r="K296" i="2"/>
  <c r="K297" i="2"/>
  <c r="K298" i="2"/>
  <c r="K299" i="2"/>
  <c r="K301" i="2"/>
  <c r="K303" i="2"/>
  <c r="K304" i="2"/>
  <c r="K305" i="2"/>
  <c r="K306" i="2"/>
  <c r="K307" i="2"/>
  <c r="K308" i="2"/>
  <c r="K309" i="2"/>
  <c r="K310" i="2"/>
  <c r="K311" i="2"/>
  <c r="K312" i="2"/>
  <c r="K313" i="2"/>
  <c r="K314" i="2"/>
  <c r="K315" i="2"/>
  <c r="K316" i="2"/>
  <c r="K317" i="2"/>
  <c r="K318" i="2"/>
  <c r="K320" i="2"/>
  <c r="K321" i="2"/>
  <c r="K322" i="2"/>
  <c r="K323" i="2"/>
  <c r="K324" i="2"/>
  <c r="K325" i="2"/>
  <c r="K6" i="2"/>
  <c r="K5" i="2"/>
</calcChain>
</file>

<file path=xl/sharedStrings.xml><?xml version="1.0" encoding="utf-8"?>
<sst xmlns="http://schemas.openxmlformats.org/spreadsheetml/2006/main" count="1630" uniqueCount="1062">
  <si>
    <t>Common Name</t>
  </si>
  <si>
    <t>Scientific Name</t>
  </si>
  <si>
    <t>Mammals</t>
  </si>
  <si>
    <t>Beaver</t>
  </si>
  <si>
    <t>Coyote</t>
  </si>
  <si>
    <t>Eastern chipmunk</t>
  </si>
  <si>
    <t>Muskrat</t>
  </si>
  <si>
    <t>Raccoon</t>
  </si>
  <si>
    <t>White-tailed deer</t>
  </si>
  <si>
    <t>Herptiles</t>
  </si>
  <si>
    <t>Garter snake</t>
  </si>
  <si>
    <t>Birds</t>
  </si>
  <si>
    <t>Green heron</t>
  </si>
  <si>
    <t>Turkey vulture</t>
  </si>
  <si>
    <t>Canada goose</t>
  </si>
  <si>
    <t>Osprey</t>
  </si>
  <si>
    <t>American toad</t>
  </si>
  <si>
    <t>Dates seen (mm/dd/yyyy, list with commas)</t>
  </si>
  <si>
    <t>04/09/2022</t>
  </si>
  <si>
    <t>Plants</t>
  </si>
  <si>
    <t>06/19/2022</t>
  </si>
  <si>
    <t>04/22/2022</t>
  </si>
  <si>
    <t>06/04/2022</t>
  </si>
  <si>
    <t>05/30/2022</t>
  </si>
  <si>
    <t>05/30/2022, 06/04/2022</t>
  </si>
  <si>
    <t>Hepatica</t>
  </si>
  <si>
    <t>Centaurea stoebe</t>
  </si>
  <si>
    <t>10/14/2022</t>
  </si>
  <si>
    <t>08/14/2021,</t>
  </si>
  <si>
    <t>Traill's flycatcher</t>
  </si>
  <si>
    <t>Phragmites australis</t>
  </si>
  <si>
    <t>05/21/2021,</t>
  </si>
  <si>
    <t>Canadian violet</t>
  </si>
  <si>
    <t>06/04/2023</t>
  </si>
  <si>
    <t>07/05/2021, 07/13/2023</t>
  </si>
  <si>
    <t>07/13/2023</t>
  </si>
  <si>
    <t>04/07/2023</t>
  </si>
  <si>
    <t>08/10/2023, 08/13/2023</t>
  </si>
  <si>
    <t>08/13/2023</t>
  </si>
  <si>
    <t>07/13/2023, 08/13/2023</t>
  </si>
  <si>
    <t>Lycopus americanus</t>
  </si>
  <si>
    <t>Vicia cracca</t>
  </si>
  <si>
    <t>To add dates to the cells, click on the cell then use the formula bar at the top of the screen. Do not type directly after clicking on the cell because it will replace everything present.</t>
  </si>
  <si>
    <t>08/14/2021, 08/04/2024</t>
  </si>
  <si>
    <t>04/10/2024, 08/04/2024</t>
  </si>
  <si>
    <t>07/05/2021, 07/04/2024</t>
  </si>
  <si>
    <t>07/20/2024</t>
  </si>
  <si>
    <t>07/22/2021, 04/22/2022, 05/19/2023, 07/20/2024</t>
  </si>
  <si>
    <t>11/09/2024</t>
  </si>
  <si>
    <t>09/12/2024</t>
  </si>
  <si>
    <t>06/18/2024</t>
  </si>
  <si>
    <t>05/30/2022, 06/04/2022, 06/18/2024</t>
  </si>
  <si>
    <t>07/13/2023, 06/18/2024</t>
  </si>
  <si>
    <t>06/04/2022, 06/19/2022, 06/18/2024</t>
  </si>
  <si>
    <t>Geranium</t>
  </si>
  <si>
    <t>06/04/2024</t>
  </si>
  <si>
    <t>07/13/2023, 06/04/2024, 07/20/2024</t>
  </si>
  <si>
    <t>05/30/2022, 06/04/2023, 06/04/2024</t>
  </si>
  <si>
    <t>05/06/2024</t>
  </si>
  <si>
    <t>Pink violet</t>
  </si>
  <si>
    <t>05/09/2022, 05/06/2024</t>
  </si>
  <si>
    <t>08/13/2023, 10/07/2024</t>
  </si>
  <si>
    <t>10/07/2024</t>
  </si>
  <si>
    <t>05/13/2020</t>
  </si>
  <si>
    <t>05/13/2020, 05/21/2021, 05/09/2022, 05/19/2023, 05/06/2024</t>
  </si>
  <si>
    <t>Hawkweed</t>
  </si>
  <si>
    <t>06/11/2020</t>
  </si>
  <si>
    <t>06/11/2020, 05/30/2022, 06/04/2022</t>
  </si>
  <si>
    <t>06/16/2020, 06/04/2024</t>
  </si>
  <si>
    <t>06/16/2020, 07/22/2021</t>
  </si>
  <si>
    <t>06/16/2020</t>
  </si>
  <si>
    <t>05/13/2020, 06/16/2020, 05/09/2022, 06/04/2023, 04/10/2024</t>
  </si>
  <si>
    <t>06/11/2020, 06/16/2020</t>
  </si>
  <si>
    <t>Penstemon digitalis</t>
  </si>
  <si>
    <t>Empidonax alnorum</t>
  </si>
  <si>
    <t>Corvus brachyrhynchos</t>
  </si>
  <si>
    <t>06/16/2020, 06/04/2023</t>
  </si>
  <si>
    <t>06/16/2020, 04/22/2022, 07/13/2023, 06/18/2024</t>
  </si>
  <si>
    <t>06/16/2020, 06/18/2024</t>
  </si>
  <si>
    <t>06/16/2020, 06/04/2023, 06/04/2024</t>
  </si>
  <si>
    <t>06/16/2020, 05/30/2022, 06/04/2022</t>
  </si>
  <si>
    <t>06/16/2020, 06/19/2022</t>
  </si>
  <si>
    <t>06/25/2020, 06/22/2021, 09/20/2021, 06/19/2022, 06/18/2024, 09/12/2024</t>
  </si>
  <si>
    <t>07/11/2020, 08/13/2023</t>
  </si>
  <si>
    <t>purple stemmed angelica</t>
  </si>
  <si>
    <t>07/14/2020</t>
  </si>
  <si>
    <t>06/16/2020, 07/21/2020, 06/04/2023</t>
  </si>
  <si>
    <t>06/11/2020, 06/16/2020, 07/21/2020, 06/04/2022, 06/04/2023</t>
  </si>
  <si>
    <t>07/21/2020, 09/20/2021, 04/09/2022, 04/07/2023,</t>
  </si>
  <si>
    <t>09/23/2020</t>
  </si>
  <si>
    <t>10/08/2020</t>
  </si>
  <si>
    <t>04/11/2019, 06/16/2020, 04/09/2022, 05/30/2022, 06/04/2023</t>
  </si>
  <si>
    <t>04/23/2019, 05/30/2022, 05/19/2023, 05/06/2024</t>
  </si>
  <si>
    <t>04/23/2019</t>
  </si>
  <si>
    <t>Crocus Flower</t>
  </si>
  <si>
    <t>04/23/2019, 05/07/2019, 05/13/2020</t>
  </si>
  <si>
    <t>05/07/2019, 06/16/2020, 06/27/2021, 04/09/2022, 05/09/2022, 05/19/2023</t>
  </si>
  <si>
    <t>05/23/2019, 05/21/2021</t>
  </si>
  <si>
    <t>05/23/2019</t>
  </si>
  <si>
    <t>05/23/2019, 06/16/2020</t>
  </si>
  <si>
    <t>Turkey</t>
  </si>
  <si>
    <t>06/16/2019, 06/16/2020, 06/04/2023, 07/13/2023, 06/04/2024, 06/18/2024</t>
  </si>
  <si>
    <t>06/16/2019</t>
  </si>
  <si>
    <t>06/16/2019, 06/04/2023, 06/04/2024</t>
  </si>
  <si>
    <t>06/16/2019, 06/16/2020, 05/30/2022</t>
  </si>
  <si>
    <t>06/16/2019, 06/16/2020, 08/13/2023, 06/04/2024</t>
  </si>
  <si>
    <t>06/16/2019, 06/11/2020, 05/21/2021, 05/30/2022, 05/06/2024, 10/07/2024</t>
  </si>
  <si>
    <t>Vipers bugloss</t>
  </si>
  <si>
    <t>05/07/2019, 05/23/2019, 06/16/2019, 05/13/2020, 06/11/2020, 06/16/2020, 06/22/2021, 04/22/2022, 05/09/2022, 06/19/2022, 05/19/2023, 06/15/2024, 06/18/2024, 07/13/2024</t>
  </si>
  <si>
    <t>05/23/2019, 06/16/2019, 06/11/2020, 06/16/2020, 07/21/2020, 05/30/2022, 06/04/2022, 07/13/2023</t>
  </si>
  <si>
    <t>07/09/2019, 08/14/2021, 10/18/2023</t>
  </si>
  <si>
    <t>06/09/2019, 07/24/2019</t>
  </si>
  <si>
    <t>07/24/2019</t>
  </si>
  <si>
    <t>07/24/2019, 08/10/2019, 05/13/2020, 06/25/2020, 06/09/2021</t>
  </si>
  <si>
    <t>08/21/2019</t>
  </si>
  <si>
    <t>08/10/2019, 08/21/2019, 06/16/2020, 06/25/2020, 10/14/2022, 11/03/2022, 06/04/2023, 07/13/2023, 08/10/2023, 08/13/2023, 09/24/2023, 10/18/2023, 09/12/2024, 10/07/2024, 10/20/2024</t>
  </si>
  <si>
    <t>09/27/2019, 08/22/2021, 07/23/2022</t>
  </si>
  <si>
    <t>09/27/2019</t>
  </si>
  <si>
    <t>10/08/2019, 10/05/2023, 09/12/2024</t>
  </si>
  <si>
    <t>06/09/2019, 10/08/2019, 09/08/2021, 10/20/2021, 05/30/2022, 06/19/2022, 10/05/2023, 05/06/2024, 06/04/2024, 07/20/2024, 09/12/2024</t>
  </si>
  <si>
    <t>08/10/2019, 10/08/2019, 06/16/2020, 04/09/2022</t>
  </si>
  <si>
    <t>10/08/2019</t>
  </si>
  <si>
    <t>08/10/2019, 10/26/2019, 06/16/2020, 08/14/2021, 08/11/2022, 10/14/2022, 11/09/2024</t>
  </si>
  <si>
    <t>04/22/2018, 05/13/2020, 04/07/2023</t>
  </si>
  <si>
    <t>04/22/2018, 04/23/2019, 04/09/2022, 04/22/2022</t>
  </si>
  <si>
    <t>04/22/2018</t>
  </si>
  <si>
    <t>Daffodil</t>
  </si>
  <si>
    <t>04/22/2018, 04/23/2019</t>
  </si>
  <si>
    <t>04/22/2018, 04/23/2019, 06/11/2020, 04/07/2023</t>
  </si>
  <si>
    <t>04/22/2018, 06/09/2019, 05/09/2022, 08/10/2023, 07/20/2024</t>
  </si>
  <si>
    <t>06/19/2018, 06/16/2020, 08/13/2023</t>
  </si>
  <si>
    <t>06/19/2018, 06/11/2020, 05/30/2022, 06/04/2022, 06/19/2022</t>
  </si>
  <si>
    <t>06/19/2018, 06/16/2020</t>
  </si>
  <si>
    <t>05/30/2018, 06/20/2018, 06/11/2020, 06/16/2020</t>
  </si>
  <si>
    <t>06/20/2018</t>
  </si>
  <si>
    <t>Snapdragon</t>
  </si>
  <si>
    <t>07/06/2018</t>
  </si>
  <si>
    <t>07/06/2018, 07/11/2020, 09/14/2020, 06/27/2021</t>
  </si>
  <si>
    <t>04/22/2018, 04/24/2018, 06/19/2018, 06/20/2018, 07/16/2018, 07/09/2019, 08/10/2019, 06/11/2020, 07/11/2020, 07/14/2020, 08/11/2020, 09/23/2020, 06/22/2021, 05/30/2022, 07/23/2022, 08/11/2022, 09/24/2023, 07/04/2024, 07/20/2024</t>
  </si>
  <si>
    <t>04/24/2018, 05/30/2018, 06/19/2018, 07/06/2018, 07/16/2018, 04/23/2019, 05/23/2019, 06/16/2020, 05/21/2021, 05/30/2022, 05/19/2023, 06/04/2023, 06/04/2024, 07/20/2024</t>
  </si>
  <si>
    <t>04/24/2018, 07/16/2018, 04/23/2019, 08/11/2022, 04/07/2023, 05/06/2024, 06/04/2024, 07/04/2024, 11/09/2024</t>
  </si>
  <si>
    <t>07/19/2018, 06/16/2019, 06/16/2020, 08/14/2021, 06/04/2023, 07/13/2023, 06/18/2024</t>
  </si>
  <si>
    <t>07/19/2018, 06/16/2020, 05/30/2022, 06/04/2022, 06/19/2022, 06/04/2023, 06/18/2024, 07/13/2024</t>
  </si>
  <si>
    <t>07/19/2018, 08/10/2019</t>
  </si>
  <si>
    <t>08/16/2018, 06/16/2020</t>
  </si>
  <si>
    <t>08/16/2018, 08/13/2023</t>
  </si>
  <si>
    <t>08/16/2018</t>
  </si>
  <si>
    <t>Wood Sorrel</t>
  </si>
  <si>
    <t>Yellow Bedstraw</t>
  </si>
  <si>
    <t>08/16/2018, 06/16/2019</t>
  </si>
  <si>
    <t>Echinacea purpurea</t>
  </si>
  <si>
    <t>06/19/2018, 07/19/2018, 08/16/2018, 05/23/2019, 06/16/2019, 06/11/2020, 06/16/2020, 06/22/2021, 06/27/2021, 07/05/2021, 05/30/2022, 06/19/2022, 06/04/2023</t>
  </si>
  <si>
    <t>08/28/2018, 08/13/2023</t>
  </si>
  <si>
    <t>06/20/2018, 10/11/2018, 06/09/2019, 08/11/2020, 06/04/2024, 07/20/2024</t>
  </si>
  <si>
    <t>Cup Plant</t>
  </si>
  <si>
    <t>(Silphium perfoliatum)</t>
  </si>
  <si>
    <t>10/14/2018</t>
  </si>
  <si>
    <t>(Symphyotrichum novae-angliae)</t>
  </si>
  <si>
    <t>(Caulophyllum thalictroides)</t>
  </si>
  <si>
    <t>05/30/2018, 06/19/2018, 10/14/2018, 06/09/2019, 06/11/2020, 05/30/2022</t>
  </si>
  <si>
    <t>10/14/2018, 06/16/2019, 06/11/2020, 06/04/2023, 06/04/2024</t>
  </si>
  <si>
    <t>(Solidago caesia)</t>
  </si>
  <si>
    <t>10/22/2018</t>
  </si>
  <si>
    <t>04/22/2018, 06/19/2018, 06/20/2018, 07/16/2018, 10/14/2018, 10/22/2018, 05/23/2019, 09/27/2019, 08/31/2021, 08/13/2023</t>
  </si>
  <si>
    <t>09/09/2018, 05/07/2019, 06/16/2020, 09/23/2020, 06/09/2021, 09/20/2021, 05/09/2022, 05/19/2023, 07/04/2024, 08/04/2024, 09/12/2024, 07/21/2025</t>
  </si>
  <si>
    <t>05/07/2019, 06/04/2022, 06/19/2022, 08/04/2024, 07/21/2025</t>
  </si>
  <si>
    <t>05/07/2018, 07/21/2025</t>
  </si>
  <si>
    <t>05/13/2020, 07/23/2022, 10/07/2024, 11/09/2024, 07/21/2025</t>
  </si>
  <si>
    <t>Castor canadensis</t>
  </si>
  <si>
    <t>Sylvilagus floridanus</t>
  </si>
  <si>
    <t>Canis latrans</t>
  </si>
  <si>
    <t>Tamias striatus</t>
  </si>
  <si>
    <t xml:space="preserve">Eastern gray squirrel </t>
  </si>
  <si>
    <t>Sciurus carolinensis</t>
  </si>
  <si>
    <t>Peromyscus maniculatus</t>
  </si>
  <si>
    <t>Ondatra zibethicus</t>
  </si>
  <si>
    <t>Procyon lotor</t>
  </si>
  <si>
    <t>Tamiasciurus hudsonicus</t>
  </si>
  <si>
    <t>Lontra canadensis</t>
  </si>
  <si>
    <t>Odocoileus virginianus</t>
  </si>
  <si>
    <t>Anaxyrus americanus</t>
  </si>
  <si>
    <t>Thamnophis sirtalis</t>
  </si>
  <si>
    <t>Lithobates pipiens</t>
  </si>
  <si>
    <t xml:space="preserve">Chrysemys picta </t>
  </si>
  <si>
    <t>Hyla versicolor</t>
  </si>
  <si>
    <t>Spinus tristis</t>
  </si>
  <si>
    <t>Turdus migratorius</t>
  </si>
  <si>
    <t>Spizelloides arborea</t>
  </si>
  <si>
    <t>Icterus galbula</t>
  </si>
  <si>
    <t>Megaceryle alcyon</t>
  </si>
  <si>
    <t>Mniotilta varia</t>
  </si>
  <si>
    <t>Coccyzus erythropthalmus</t>
  </si>
  <si>
    <t>Poecile atricapillus</t>
  </si>
  <si>
    <t>Setophaga virens</t>
  </si>
  <si>
    <t>Cyanocitta cristata</t>
  </si>
  <si>
    <t>Vermivora cyanoptera</t>
  </si>
  <si>
    <t>Dolichonyx oryzivorus</t>
  </si>
  <si>
    <t>Pheucticus ludovicianus</t>
  </si>
  <si>
    <t>Certhia americana</t>
  </si>
  <si>
    <t>Molothrus ater</t>
  </si>
  <si>
    <t>Toxostoma rufum</t>
  </si>
  <si>
    <t>Branta canadensis</t>
  </si>
  <si>
    <t>Bombycilla cedrorum</t>
  </si>
  <si>
    <t>Setophaga pensylvanica</t>
  </si>
  <si>
    <t>Spizella passerina</t>
  </si>
  <si>
    <t>Spizella pallida</t>
  </si>
  <si>
    <t>Quiscalus quiscula</t>
  </si>
  <si>
    <t>Corvus corax</t>
  </si>
  <si>
    <t>Geothlypis trichas</t>
  </si>
  <si>
    <t>Junco hyemalis</t>
  </si>
  <si>
    <t>Dark-eyed Junco</t>
  </si>
  <si>
    <t>Dryobates pubescens</t>
  </si>
  <si>
    <t>Sialia sialis</t>
  </si>
  <si>
    <t>Tyrannus tyrannus</t>
  </si>
  <si>
    <t>Sturnella magna</t>
  </si>
  <si>
    <t>Sayornis phoebe</t>
  </si>
  <si>
    <t>Pipilo erythrophthalmus</t>
  </si>
  <si>
    <t>Contopus virens</t>
  </si>
  <si>
    <t>Sturnus vulgaris</t>
  </si>
  <si>
    <t>Spizella pusilla</t>
  </si>
  <si>
    <t>Regulus satrapa</t>
  </si>
  <si>
    <t>Dumetella carolinensis</t>
  </si>
  <si>
    <t>Ardea herodias</t>
  </si>
  <si>
    <t>Myiarchus crinitus</t>
  </si>
  <si>
    <t>Butorides virescens</t>
  </si>
  <si>
    <t>Leuconotopicus villosus</t>
  </si>
  <si>
    <t>Troglodytes aedon</t>
  </si>
  <si>
    <t>Passerina cyanea</t>
  </si>
  <si>
    <t>Charadrius vociferus</t>
  </si>
  <si>
    <t>Anas platyrhynchos</t>
  </si>
  <si>
    <t>Mallard</t>
  </si>
  <si>
    <t>Eastern Meadowlark</t>
  </si>
  <si>
    <t>Zenaida macroura</t>
  </si>
  <si>
    <t>Geothlypis philadelphia</t>
  </si>
  <si>
    <t>Cardinalis cardinalis</t>
  </si>
  <si>
    <t>Colaptes auratus</t>
  </si>
  <si>
    <t>06/11/2020, 06/16/2020, 06/22/2021, 06/04/2022, 06/19/2022, 05/19/2023, 06/04/2023, 05/06/2024</t>
  </si>
  <si>
    <t>Pandion haliaetus</t>
  </si>
  <si>
    <t>Seiurus aurocapilla</t>
  </si>
  <si>
    <t>Dryocopus pileatus</t>
  </si>
  <si>
    <t>Setophaga pinus</t>
  </si>
  <si>
    <t>Melanerpes carolinus</t>
  </si>
  <si>
    <t>Vireo olivaceus</t>
  </si>
  <si>
    <t>Agelaius phoeniceus</t>
  </si>
  <si>
    <t>Buteo jamaicensis</t>
  </si>
  <si>
    <t>Larus delawarensis</t>
  </si>
  <si>
    <t>Columba livia</t>
  </si>
  <si>
    <t>Corthylio calendula</t>
  </si>
  <si>
    <t>Bonasa umbellus</t>
  </si>
  <si>
    <t>Antigone canadensis</t>
  </si>
  <si>
    <t>Passerculus sandwichensis</t>
  </si>
  <si>
    <t>Piranga olivacea</t>
  </si>
  <si>
    <t>Melospiza melodia</t>
  </si>
  <si>
    <t>Actitis macularius</t>
  </si>
  <si>
    <t>Melospiza georgiana</t>
  </si>
  <si>
    <t>08/14/2021</t>
  </si>
  <si>
    <t>Empidonax traillii</t>
  </si>
  <si>
    <t>Tachycineta bicolor </t>
  </si>
  <si>
    <t>Cathartes aura</t>
  </si>
  <si>
    <t>Vireo gilvus</t>
  </si>
  <si>
    <t> Sitta carolinensis</t>
  </si>
  <si>
    <t>Zonotrichia leucophrys</t>
  </si>
  <si>
    <t>Zonotrichia albicollis</t>
  </si>
  <si>
    <t>Troglodytes troglodytes</t>
  </si>
  <si>
    <t>Hylocichla mustelina</t>
  </si>
  <si>
    <t>07/19/2018, 05/07/2019, 07/09/2019, 10/08/2019, 06/11/2020, 06/16/2020, 07/22/2021, 08/14/2021, 08/13/2023, 09/12/2024</t>
  </si>
  <si>
    <t>Setophaga dominica</t>
  </si>
  <si>
    <t>Setophaga aestiva</t>
  </si>
  <si>
    <t>Agrimonia gryposepala</t>
  </si>
  <si>
    <t>Trifolium hybridum</t>
  </si>
  <si>
    <t>Phryma leptostachya</t>
  </si>
  <si>
    <t>Plantago rugelii</t>
  </si>
  <si>
    <t>Malus (Genus)</t>
  </si>
  <si>
    <t>Elaeagnus umbellata</t>
  </si>
  <si>
    <t>Beggarticks</t>
  </si>
  <si>
    <t>Salix bebbiana</t>
  </si>
  <si>
    <t>Monarda (Genus)</t>
  </si>
  <si>
    <t>Lotus corniculatus</t>
  </si>
  <si>
    <t>Medicago lupulina</t>
  </si>
  <si>
    <t>Rudbeckia hirta</t>
  </si>
  <si>
    <t>Sanguinaria canadensis</t>
  </si>
  <si>
    <t>Verbena hastata</t>
  </si>
  <si>
    <t>Viola adunca</t>
  </si>
  <si>
    <t>Eupatorium perfoliatum</t>
  </si>
  <si>
    <t>Symphyotrichum latifolium</t>
  </si>
  <si>
    <t>Rudbeckia triloba</t>
  </si>
  <si>
    <t>Cirsium vulgare</t>
  </si>
  <si>
    <t>Bidens cernua</t>
  </si>
  <si>
    <t>Carex sparganioides</t>
  </si>
  <si>
    <t>Cephalanthus occidentalis</t>
  </si>
  <si>
    <t>Maianthemum canadense</t>
  </si>
  <si>
    <t>Viola canadensis</t>
  </si>
  <si>
    <t>Elymus canadensis</t>
  </si>
  <si>
    <t>Cichorium intybus</t>
  </si>
  <si>
    <t>Tussilago farfara</t>
  </si>
  <si>
    <t>Oenothera biennis</t>
  </si>
  <si>
    <t>Torilis arvensis</t>
  </si>
  <si>
    <t>Impatiens capensis</t>
  </si>
  <si>
    <t>Artemisia vulgaris</t>
  </si>
  <si>
    <t>Galanthus nivalis</t>
  </si>
  <si>
    <t>Linaria vulgaris</t>
  </si>
  <si>
    <t>Populus deltoides</t>
  </si>
  <si>
    <t>Eastern cottonwood</t>
  </si>
  <si>
    <t>Campanula rapunculoides</t>
  </si>
  <si>
    <t>Cirsium arvense</t>
  </si>
  <si>
    <t>Securigera varia</t>
  </si>
  <si>
    <t>Rumex crispus</t>
  </si>
  <si>
    <t>Narcissus pseudonarcissus</t>
  </si>
  <si>
    <t>Hesperis matronalis</t>
  </si>
  <si>
    <t>Taraxacum officinale</t>
  </si>
  <si>
    <t>Bidens frondosa</t>
  </si>
  <si>
    <t>Vincetoxicum rossicum</t>
  </si>
  <si>
    <t>Juniperus virginiana</t>
  </si>
  <si>
    <t>Inula helenium</t>
  </si>
  <si>
    <t>Circaea canadensis</t>
  </si>
  <si>
    <t>Maianthemum racemosum</t>
  </si>
  <si>
    <t>Heliopsis helianthoides</t>
  </si>
  <si>
    <t>Matteuccia struthiopteris</t>
  </si>
  <si>
    <t>Euthamia graminifolia</t>
  </si>
  <si>
    <t>Myosotis scorpioides</t>
  </si>
  <si>
    <t>Carex vulpinoidea</t>
  </si>
  <si>
    <t>Alliaria petiolata</t>
  </si>
  <si>
    <t>Aruncus dioicus</t>
  </si>
  <si>
    <t>Goatsbeard</t>
  </si>
  <si>
    <t>Carex gracillima</t>
  </si>
  <si>
    <t>Cornus racemosa</t>
  </si>
  <si>
    <t>Lobelia siphilitica</t>
  </si>
  <si>
    <t>Ambrosia trifida</t>
  </si>
  <si>
    <t>Thalictrum aquilegiifolium</t>
  </si>
  <si>
    <t>Fraxinus pennsylvanica</t>
  </si>
  <si>
    <t>Ratibida pinnata</t>
  </si>
  <si>
    <t>Polygonatum pubescens</t>
  </si>
  <si>
    <t>Prunella vulgaris</t>
  </si>
  <si>
    <t>Symphyotrichum cordifolium</t>
  </si>
  <si>
    <t>Symphyotrichum ericoides</t>
  </si>
  <si>
    <t>Lamium amplexicaule</t>
  </si>
  <si>
    <t>Geranium robertianum</t>
  </si>
  <si>
    <t>Viburnum opulus var. americanum</t>
  </si>
  <si>
    <t>Amphicarpaea bracteata</t>
  </si>
  <si>
    <t>Equisetum arvense</t>
  </si>
  <si>
    <t>Arisaema triphyllum</t>
  </si>
  <si>
    <t>Eutrochium maculatum</t>
  </si>
  <si>
    <t>Sparganium eurycarpum</t>
  </si>
  <si>
    <t>Convallaria majalis</t>
  </si>
  <si>
    <t>Carex pedunculata</t>
  </si>
  <si>
    <t>Caltha palustris</t>
  </si>
  <si>
    <t>Ranunculus acris</t>
  </si>
  <si>
    <t>Holcus lanatus</t>
  </si>
  <si>
    <t>Asclepias syriaca</t>
  </si>
  <si>
    <t>American hog-peanut</t>
  </si>
  <si>
    <t>Lonicera (Genus)</t>
  </si>
  <si>
    <t xml:space="preserve"> Verbascum (Genus)</t>
  </si>
  <si>
    <t>Symphyotrichum novi-belgii</t>
  </si>
  <si>
    <t>Lycopus uniflorus</t>
  </si>
  <si>
    <t>Leucanthemum vulgare</t>
  </si>
  <si>
    <t>Symphyotrichum lanceolatum</t>
  </si>
  <si>
    <t>Erigeron philadelphicus</t>
  </si>
  <si>
    <t>Phlox (Genus)</t>
  </si>
  <si>
    <t>Prunus pensylvanica</t>
  </si>
  <si>
    <t>Toxicodendron radicans</t>
  </si>
  <si>
    <t>Trifolium pratense</t>
  </si>
  <si>
    <t>Lythrum salicaria</t>
  </si>
  <si>
    <t>Angelica atropurpurea</t>
  </si>
  <si>
    <t>Viola (Genus)</t>
  </si>
  <si>
    <t>Salix discolor</t>
  </si>
  <si>
    <t>Daucus carota</t>
  </si>
  <si>
    <t>Rubus idaeus</t>
  </si>
  <si>
    <t>Vinca (Genus)</t>
  </si>
  <si>
    <t>Epilobium coloratum</t>
  </si>
  <si>
    <t>Actaea rubra</t>
  </si>
  <si>
    <t>Sambucus racemosa</t>
  </si>
  <si>
    <t>Cornus sericea</t>
  </si>
  <si>
    <t>Agrostis gigantea</t>
  </si>
  <si>
    <t>Phalaris arundinacea</t>
  </si>
  <si>
    <t>Pleurozium schreberi</t>
  </si>
  <si>
    <t>Pinus sylvestris</t>
  </si>
  <si>
    <t>Onopordum acanthium</t>
  </si>
  <si>
    <t>Scilla siberica</t>
  </si>
  <si>
    <t>Cornus amomum</t>
  </si>
  <si>
    <t>Schoenoplectus tabernaemontani</t>
  </si>
  <si>
    <t>Oenothera (genus)</t>
  </si>
  <si>
    <t>Antirrhinum (Genus)</t>
  </si>
  <si>
    <t>Cicuta maculata</t>
  </si>
  <si>
    <t>Apocynum androsaemifolium</t>
  </si>
  <si>
    <t>Mimulus ringens</t>
  </si>
  <si>
    <t>Square-stemmed monkeyflower</t>
  </si>
  <si>
    <t>Rhus typhina</t>
  </si>
  <si>
    <t>Urtica dioica</t>
  </si>
  <si>
    <t>Asclepias incarnata</t>
  </si>
  <si>
    <t>Melilotus officinalis</t>
  </si>
  <si>
    <t>Melilotus alba</t>
  </si>
  <si>
    <t>Thalictrum pubescens</t>
  </si>
  <si>
    <t>Helianthus giganteus</t>
  </si>
  <si>
    <t>Larix laricina</t>
  </si>
  <si>
    <t>Lilium lancifolium</t>
  </si>
  <si>
    <t>Populus tremuloides</t>
  </si>
  <si>
    <t>Trillium grandiflorum</t>
  </si>
  <si>
    <t>Carex molesta</t>
  </si>
  <si>
    <t>Erythronium americanum</t>
  </si>
  <si>
    <t>Echium vulgare</t>
  </si>
  <si>
    <t>Fraxinus americana</t>
  </si>
  <si>
    <t>Actaea pachypoda</t>
  </si>
  <si>
    <t>Clavulina cristata</t>
  </si>
  <si>
    <t>Chelone glabra</t>
  </si>
  <si>
    <t>Viola blanda</t>
  </si>
  <si>
    <t>Angelica sylvestris</t>
  </si>
  <si>
    <t>Asparagus officinalis</t>
  </si>
  <si>
    <t>Monarda fistulosa</t>
  </si>
  <si>
    <t>Phlox divaricata</t>
  </si>
  <si>
    <t>Echinocystis lobata</t>
  </si>
  <si>
    <t>Allium canadense</t>
  </si>
  <si>
    <t>Asarum canadense</t>
  </si>
  <si>
    <t>Vitis vulpina</t>
  </si>
  <si>
    <t>Camassia scilloides</t>
  </si>
  <si>
    <t>Pastinaca sativa</t>
  </si>
  <si>
    <t>Aralia nudicaulis</t>
  </si>
  <si>
    <t>Eranthis hyemalis</t>
  </si>
  <si>
    <t>Laportea canadensis</t>
  </si>
  <si>
    <t>Oxalis (Genus)</t>
  </si>
  <si>
    <t>Helianthus divaricatus</t>
  </si>
  <si>
    <t>Geum aleppicum</t>
  </si>
  <si>
    <t>Galium verum</t>
  </si>
  <si>
    <t>Tragopogon dubius</t>
  </si>
  <si>
    <t>Hieracium caespitosum</t>
  </si>
  <si>
    <t>Cypripedium parviflorum</t>
  </si>
  <si>
    <t>Viola pubescens</t>
  </si>
  <si>
    <t>Meleagris gallopavo silvestris</t>
  </si>
  <si>
    <t>Sitta canadensis</t>
  </si>
  <si>
    <t>Symphyotrichum (genus)</t>
  </si>
  <si>
    <t>Bidens (genus)</t>
  </si>
  <si>
    <t>Campanula (genus)</t>
  </si>
  <si>
    <t>Ranunculus (genus)</t>
  </si>
  <si>
    <t>Typha (genus)</t>
  </si>
  <si>
    <t>Xanthium (genus)</t>
  </si>
  <si>
    <t>Plantago (genus)</t>
  </si>
  <si>
    <t>Epilobium (genus)</t>
  </si>
  <si>
    <t>Geranium (genus)</t>
  </si>
  <si>
    <t>Crocus (genus)</t>
  </si>
  <si>
    <t>Leucanthemum (genus)</t>
  </si>
  <si>
    <t>Erigeron (genus)</t>
  </si>
  <si>
    <t>Antennaria (genus)</t>
  </si>
  <si>
    <t>Solidago (genus)</t>
  </si>
  <si>
    <t>Vitis (genus)</t>
  </si>
  <si>
    <t>Hieracium (genus)</t>
  </si>
  <si>
    <t>Salix (genus)</t>
  </si>
  <si>
    <t>To undo use CTRL+Z, Use CTRL+F to search for names or dates</t>
  </si>
  <si>
    <t>06/16/2020, 08/14/2021, 05/30/2022, 05/19/2023, 06/04/2024, 06/18/2024</t>
  </si>
  <si>
    <t>04/09/2022, 05/09/2022</t>
  </si>
  <si>
    <t>Switch both A1s to whichever cell you want to count</t>
  </si>
  <si>
    <t xml:space="preserve">&lt;- formula is </t>
  </si>
  <si>
    <t>LEN(A1)-LEN(SUBSTITUTE(A1,",",""))+1</t>
  </si>
  <si>
    <t>Insects</t>
  </si>
  <si>
    <t>Cicada</t>
  </si>
  <si>
    <t>Mushrooms</t>
  </si>
  <si>
    <t>Honeybees</t>
  </si>
  <si>
    <t>White stripe black moth</t>
  </si>
  <si>
    <t>08/10/2019</t>
  </si>
  <si>
    <t>Damselflies (Unidentified)</t>
  </si>
  <si>
    <t>Common whitetail skimmer</t>
  </si>
  <si>
    <t>Dragonfly (Unidentified)</t>
  </si>
  <si>
    <t>Little wood satyrs</t>
  </si>
  <si>
    <t>Japanese beetle</t>
  </si>
  <si>
    <t>Tiger Beetle</t>
  </si>
  <si>
    <t>07/21/2020</t>
  </si>
  <si>
    <t>Butterflies (Unidentified)</t>
  </si>
  <si>
    <t>LDD Moth (gypsy moth)</t>
  </si>
  <si>
    <t>06/11/2020, 07/05/2021</t>
  </si>
  <si>
    <t>07/05/2021</t>
  </si>
  <si>
    <t>06/22/2021, 07/05/2021, 09/20/2021</t>
  </si>
  <si>
    <t>07/22/2021, 07/05/2021, 07/27/2021, 06/19/2022</t>
  </si>
  <si>
    <t>07/05/2021, 06/19/2022</t>
  </si>
  <si>
    <t>07/22/2021, 06/04/2022, 08/11/2022</t>
  </si>
  <si>
    <t>07/21/2020, 06/04/2022</t>
  </si>
  <si>
    <t>06/25/2020, 06/04/2022</t>
  </si>
  <si>
    <t>Trichodezia albovittata</t>
  </si>
  <si>
    <t>White-striped black moth</t>
  </si>
  <si>
    <t>08/10/2019, 09/20/2021, 11/03/2022, 10/18/2023</t>
  </si>
  <si>
    <t>Ganoderma megaloma</t>
  </si>
  <si>
    <t>07/04/2023</t>
  </si>
  <si>
    <t>04/10/2024</t>
  </si>
  <si>
    <t>06/11/2020, 07/22/2021, 08/11/2022, 08/04/2024</t>
  </si>
  <si>
    <t>06/11/2020, 07/05/2021, 06/19/2022, 06/04/2022, 08/04/2024</t>
  </si>
  <si>
    <t>06/11/2020, 07/20/2024</t>
  </si>
  <si>
    <t>07/19/2018, 08/10/2019, 07/20/2024</t>
  </si>
  <si>
    <t>Swallowtail butterflies</t>
  </si>
  <si>
    <t>06/11/2020, 06/18/2024</t>
  </si>
  <si>
    <t>06/11/2020, 06/04/2024, 06/18/2024, 07/20/2024</t>
  </si>
  <si>
    <t>08/09/2025</t>
  </si>
  <si>
    <t>06/16/2020, 04/07/2023, 06/04/2023, 06/18/2024, 08/09/2025</t>
  </si>
  <si>
    <t>07/06/2018, 08/16/2018, 06/16/2020, 06/22/2021, 06/19/2022, 07/13/2023, 07/20/2024, 08/09/2025</t>
  </si>
  <si>
    <t>08/10/2019, 10/08/2019, 06/16/2020, 08/14/2021, 07/21/2025, 08/09/2025</t>
  </si>
  <si>
    <t>08/10/2019, 06/16/2020, 06/22/2021, 08/09/2025</t>
  </si>
  <si>
    <t>08/10/2019, 06/11/2020, 06/04/2024, 08/09/2025</t>
  </si>
  <si>
    <t>08/13/2023, 08/09/2025</t>
  </si>
  <si>
    <t>Canada Goldenrod</t>
  </si>
  <si>
    <t>Solidago canadensis</t>
  </si>
  <si>
    <t>Bromus inermis</t>
  </si>
  <si>
    <t>06/04/2023, 08/13/2023, 08/09/2025</t>
  </si>
  <si>
    <t>Field Horsetail</t>
  </si>
  <si>
    <t>Hawthorne</t>
  </si>
  <si>
    <t>Nannyberry</t>
  </si>
  <si>
    <t>Ursus americanus</t>
  </si>
  <si>
    <t>Anemone virginiana</t>
  </si>
  <si>
    <t>Anaphalis margaritacea</t>
  </si>
  <si>
    <t>Hypericum perforatum</t>
  </si>
  <si>
    <t>Parthenocissus quinquefolia</t>
  </si>
  <si>
    <t>Ulmus americana</t>
  </si>
  <si>
    <t>Thuja occidentalis</t>
  </si>
  <si>
    <t>Lonicera tatarica</t>
  </si>
  <si>
    <t>Crataegus (Genus)</t>
  </si>
  <si>
    <t>Cornus alternifolia</t>
  </si>
  <si>
    <t>Viburnum lentago</t>
  </si>
  <si>
    <t>Danaus plexippus</t>
  </si>
  <si>
    <t>Apis (Genus)</t>
  </si>
  <si>
    <t>Nymphalidae (family)</t>
  </si>
  <si>
    <t>Papilio glaucus</t>
  </si>
  <si>
    <t xml:space="preserve"> Cicadidae (Family)</t>
  </si>
  <si>
    <t>Orthoptera (Order)</t>
  </si>
  <si>
    <t>Macroglossum stellatarum</t>
  </si>
  <si>
    <t>Xiphydriidae</t>
  </si>
  <si>
    <t>Woodwasp</t>
  </si>
  <si>
    <t>Calopteryx maculata</t>
  </si>
  <si>
    <t>Zygoptera (suborder)</t>
  </si>
  <si>
    <t>Plathemis lydia</t>
  </si>
  <si>
    <t>Anisoptera (Infraorder)</t>
  </si>
  <si>
    <t>Megisto cymela</t>
  </si>
  <si>
    <t>Phyciodes cocyta</t>
  </si>
  <si>
    <t>Common eastern bumble bee</t>
  </si>
  <si>
    <t>Bombus impatiens</t>
  </si>
  <si>
    <t>Phyciodes tharos</t>
  </si>
  <si>
    <t>Asilidae (Genus)</t>
  </si>
  <si>
    <t>Popillia japonica</t>
  </si>
  <si>
    <t>Cicindelidae (Family)</t>
  </si>
  <si>
    <t>Tabanidae (Deer Flies)</t>
  </si>
  <si>
    <t>Limenitis camilla</t>
  </si>
  <si>
    <t>Papilionoidea (Superfamily)</t>
  </si>
  <si>
    <t>Lymantria dispar dispar</t>
  </si>
  <si>
    <t>Phyciodes (Genus)</t>
  </si>
  <si>
    <t>Nymphalis antiopa</t>
  </si>
  <si>
    <t>Agrilus planipennis</t>
  </si>
  <si>
    <t>Pyrrharctia isabella</t>
  </si>
  <si>
    <t>Vanessa atalanta</t>
  </si>
  <si>
    <t>Papilionidae (Family)</t>
  </si>
  <si>
    <t>Cercyonis pegala</t>
  </si>
  <si>
    <t>Polygonia interrogationis</t>
  </si>
  <si>
    <t>Thymelicus lineola</t>
  </si>
  <si>
    <t>Celastrina ladon</t>
  </si>
  <si>
    <t>Vanessa cardui</t>
  </si>
  <si>
    <t>Celastrina neglecta</t>
  </si>
  <si>
    <t>Malacosoma (Genus)</t>
  </si>
  <si>
    <t>Lophocampa caryae</t>
  </si>
  <si>
    <t>Spilosoma virginica</t>
  </si>
  <si>
    <t>Halysidota tessellaris</t>
  </si>
  <si>
    <t>Tetraopes tetrophthalmus</t>
  </si>
  <si>
    <t>Chauliognathus pensylvanicus</t>
  </si>
  <si>
    <t>Coccinella septempunctata</t>
  </si>
  <si>
    <t>Acanalonia bivittata</t>
  </si>
  <si>
    <t>Calvatia gigantea</t>
  </si>
  <si>
    <t>Polyporus squamosus</t>
  </si>
  <si>
    <t>Pleurotus ostreatus</t>
  </si>
  <si>
    <t>Coprinellus micaceus</t>
  </si>
  <si>
    <t>07/06/2018, 07/19/2018, 07/24/2019, 08/10/2019, 07/22/2021, 06/30/2022, 07/20/2024, 08/09/2025, 08/23/2025</t>
  </si>
  <si>
    <t>08/23/2025</t>
  </si>
  <si>
    <t>Acronicta americana</t>
  </si>
  <si>
    <t>08/10/2019, 08/21/2019, 08/10/2023, 08/13/2023, 08/01/2024, 10/07/2024, 08/09/2025, 08/23/2025</t>
  </si>
  <si>
    <t>04/22/2022, 05/09/2022, 04/10/2024, 08/23/2025</t>
  </si>
  <si>
    <t>08/09/2025, 08/23/2025</t>
  </si>
  <si>
    <t>Solanum dulcamara</t>
  </si>
  <si>
    <t>Gooseberry</t>
  </si>
  <si>
    <t>Ribes oxyacanthoides</t>
  </si>
  <si>
    <t>08/13/2023, 08/23/2025</t>
  </si>
  <si>
    <t>06/04/2023, 08/09/2025, 08/23/2025</t>
  </si>
  <si>
    <t>06/04/2023, 08/13/2023, 08/09/2025, 08/23/2025</t>
  </si>
  <si>
    <t>Black Walnut</t>
  </si>
  <si>
    <t>Juglans nigra</t>
  </si>
  <si>
    <t>Crown vetch</t>
  </si>
  <si>
    <t>08/16/2018, 08/23/2025</t>
  </si>
  <si>
    <t>Crimson King Maple</t>
  </si>
  <si>
    <t>Acer platanoides</t>
  </si>
  <si>
    <t>06/16/2019, 08/23/2025</t>
  </si>
  <si>
    <t>07/27/2025, 08/23/2025</t>
  </si>
  <si>
    <t>Plantago lanceolata</t>
  </si>
  <si>
    <t>06/16/2020, 08/13/2023, 08/09/2025, 08/23/2025</t>
  </si>
  <si>
    <t>Burdock</t>
  </si>
  <si>
    <t>07/06/2018, 08/16/2018, 07/24/2019, 08/10/2019, 08/23/2025</t>
  </si>
  <si>
    <t>06/09/2019, 09/14/2020, 08/14/2021, 08/10/2023, 08/23/2025</t>
  </si>
  <si>
    <t>06/16/2019, 05/30/2022, 06/04/2024, 08/23/2025</t>
  </si>
  <si>
    <t>Common Strawberry</t>
  </si>
  <si>
    <t>Potentilla recta</t>
  </si>
  <si>
    <t>Pinus strobus</t>
  </si>
  <si>
    <t>Schizachyrium scoparium</t>
  </si>
  <si>
    <t>Picea glauca</t>
  </si>
  <si>
    <t>Fragaria virginiana</t>
  </si>
  <si>
    <t>Acer negundo</t>
  </si>
  <si>
    <t>08/13/2023, 08/09/2025,11/02/2025</t>
  </si>
  <si>
    <t>,11/02/25</t>
  </si>
  <si>
    <t>Canada yew</t>
  </si>
  <si>
    <t>Taxus canadensis</t>
  </si>
  <si>
    <t>08/10/2019, 09/20/2021, 10/20/2021, 05/30/2022, 11/03/2022, 05/06/2024,11/02/2025</t>
  </si>
  <si>
    <t>04/07/2023, 10/07/2024, 10/20/2024, 11/09/2024,11/22/2025</t>
  </si>
  <si>
    <t>10/18/2023,11/22/2025</t>
  </si>
  <si>
    <t>08/10/2019, 08/01/2024, 10/07/2024,10/06/2025</t>
  </si>
  <si>
    <t>09/23/2020, 08/13/2023,10/06/2025</t>
  </si>
  <si>
    <t>08/21/2019, 09/27/2019, 06/11/2020, 06/04/2023, 08/23/2025,10/06/2025,11/02/2025</t>
  </si>
  <si>
    <t>10/05/2023, 10/18/2023, 09/12/2024,10/06/2025</t>
  </si>
  <si>
    <t>Yellow rimped warbler</t>
  </si>
  <si>
    <t>Setophaga coronata</t>
  </si>
  <si>
    <t>Leiothlypis celata</t>
  </si>
  <si>
    <t>Orange crowned warbler</t>
  </si>
  <si>
    <t>10/05/2023, 09/12/2024,10/06/2025</t>
  </si>
  <si>
    <t>04/22/2022, 10/05/2023,10/06/2025</t>
  </si>
  <si>
    <t>06/16/2020, 08/14/2021, 06/04/2023,09/01/2025</t>
  </si>
  <si>
    <t>07/16/2018, 08/28/2018, 07/09/2019, 06/25/2020, 06/22/2021, 07/05/2021, 08/14/2021, 06/30/2022, 10/14/2022, 11/03/2022, 06/04/2023, 07/13/2023, 08/10/2023, 10/05/2023, 10/18/2023, 07/04/2024, 08/01/2024, 10/07/2024, 08/09/2025, 08/23/2025,09/01/2025,10/06/2025</t>
  </si>
  <si>
    <t>08/10/2019, 06/16/2020, 06/04/2023, 08/13/2023, 08/09/2025,09/01/2025</t>
  </si>
  <si>
    <t>06/11/2020, 07/05/2021, 08/13/2023, 06/04/2024,09/01/2025</t>
  </si>
  <si>
    <t>06/04/2023, 10/18/2023, 06/18/2024, 07/20/2024, 08/09/2025, 08/23/2025,09/01/2025,11/02/2025</t>
  </si>
  <si>
    <t>08/09/2025,09/01/2025</t>
  </si>
  <si>
    <t>07/13/2024,09/01/2025</t>
  </si>
  <si>
    <t>06/04/2024,09/01/2025</t>
  </si>
  <si>
    <t>Virgins bower</t>
  </si>
  <si>
    <t>Clematis virginiana</t>
  </si>
  <si>
    <t>Meadow rue early</t>
  </si>
  <si>
    <t>Thalictrum dioicum</t>
  </si>
  <si>
    <t>08/23/2025,09/01/2025</t>
  </si>
  <si>
    <t>Wild basil</t>
  </si>
  <si>
    <t>Clinopodium vulgare</t>
  </si>
  <si>
    <t>Meadow rue tall</t>
  </si>
  <si>
    <t>Thalictrum dasycarpum</t>
  </si>
  <si>
    <t>08/13/2023,09/01/2025</t>
  </si>
  <si>
    <t>Chicken fat fungus</t>
  </si>
  <si>
    <t>Suillus americanus</t>
  </si>
  <si>
    <t>Calico aster</t>
  </si>
  <si>
    <t>Symphyotrichum lateriflorum</t>
  </si>
  <si>
    <t>08/09/2025, 08/23/2025,09/01/2025</t>
  </si>
  <si>
    <t>06/11/2020,09/01/2025</t>
  </si>
  <si>
    <t>09/27/2018,09/01/2025</t>
  </si>
  <si>
    <t>04/23/2019, 08/14/2021, 04/22/2022, 05/09/2022, 04/07/2023, 05/19/2023, 05/06/2024, 11/09/2024,09/01/2025</t>
  </si>
  <si>
    <t>07/19/2018, 09/27/2018, 10/22/2018, 04/11/2019, 04/23/2019, 06/16/2020, 04/22/2022, 06/19/2022, 10/14/2022, 11/03/2022, 04/07/2023, 05/19/2023, 10/05/2023, 04/21/2024, 05/06/2024, 06/04/2024, 06/15/2024,  06/18/2024, 09/12/2024, 10/20/2024,09/01/2025</t>
  </si>
  <si>
    <t>08/10/2019, 06/16/2020, 08/14/2021, 04/07/2023, 05/06/2024, 06/04/2024,09/01/2025</t>
  </si>
  <si>
    <t>05/07/2019, 06/11/2020, 09/20/2021, 05/06/2024, 08/09/2025,09/01/2025</t>
  </si>
  <si>
    <t>07/19/2018, 09/20/2021, 10/20/2024,09/01/2025</t>
  </si>
  <si>
    <t>07/19/2018, 08/10/2019, 06/16/2020, 06/04/2023, 06/04/2024, 06/18/2024, 07/21/2025,09/01/2025</t>
  </si>
  <si>
    <t>07/19/2018, 06/11/2020, 06/16/2020, 07/21/2020, 08/14/2021, 05/30/2022, 06/04/2022, 06/04/2023, 07/13/2023, 06/04/2024, 07/20/2024, 08/04/2024, 07/21/2025,09/01/2025</t>
  </si>
  <si>
    <t>08/16/2018, 06/09/2019, 06/16/2020, 10/14/2020, 08/14/2021, 05/30/2022, 06/04/2022, 04/07/2023, 06/04/2023, 04/21/2024, 06/04/2024,09/01/2025</t>
  </si>
  <si>
    <t>07/19/2018, 06/16/2020, 04/07/2023, 11/09/2024,09/01/2025</t>
  </si>
  <si>
    <t>10/08/2019, 06/16/2020, 05/30/2022, 10/05/2023, 07/20/2024, 07/21/2025,09/01/2025</t>
  </si>
  <si>
    <t>06/16/2020,09/01/2025</t>
  </si>
  <si>
    <t>07/19/2018, 08/10/2019, 06/11/2020, 06/16/2020, 09/08/2021, 04/09/2022, 05/30/2022, 06/19/2022, 04/07/2023, 06/04/2023, 07/13/2023, 10/05/2023, 04/10/2024, 04/21/2024, 06/04/2024, 09/12/2024, 10/07/2024, 11/09/2024,09/01/2025</t>
  </si>
  <si>
    <t>07/19/2018, 06/11/2020, 07/21/2020, 04/09/2022, 04/22/2022, 06/04/2022, 06/19/2022, 04/07/2023, 06/04/2023, 07/13/2023, 10/05/2023, 10/18/2023, 04/10/2024, 06/18/2024, 08/04/2024, 09/12/2024, 07/21/2025,09/01/2025,10/06/2025</t>
  </si>
  <si>
    <t>04/23/2019, 06/11/2020, 06/16/2020, 07/21/2020, 10/08/2020, 06/09/2021, 04/07/2023, 05/19/2023, 07/13/2023, 05/06/2024, 06/04/2024, 06/15/2024,09/01/2025</t>
  </si>
  <si>
    <t>07/19/2018, 04/23/2019, 06/09/2019, 08/10/2019, 06/16/2020, 08/14/2021, 04/09/2022, 04/22/2022, 06/19/2022, 04/07/2023, 06/04/2023, 08/10/2023, 10/05/2023, 10/18/2023, 05/06/2024, 06/04/2024, 06/18/2024, 07/04/2024, 07/13/2024, 07/20/2024,09/01/2025,10/06/2025</t>
  </si>
  <si>
    <t>Arrow leaved aster</t>
  </si>
  <si>
    <t>08/14/2021, 08/23/2025,10/06/2025,09/07/2025</t>
  </si>
  <si>
    <t>Sensitive fern</t>
  </si>
  <si>
    <t>Onoclea sensibilis</t>
  </si>
  <si>
    <t>08/23/2025,09/07/2025</t>
  </si>
  <si>
    <t>Arctium minus</t>
  </si>
  <si>
    <t>10/14/2018, 06/04/2023,09/07/2025</t>
  </si>
  <si>
    <t>08/13/2023,09/07/2025</t>
  </si>
  <si>
    <t>10/14/2018, 09/23/2020, 08/13/2023, 10/07/2024, 10/20/2024,09/07/2025</t>
  </si>
  <si>
    <t>Orange coneflower</t>
  </si>
  <si>
    <t>Rudbeckia fulgida</t>
  </si>
  <si>
    <t>07/05/2021, 08/11/2022, , 07/13/2023, 08/10/2023, 08/01/2024,09/07/2025,10/06/2025</t>
  </si>
  <si>
    <t>08/14/2021, 10/07/2024, 08/23/2025,09/07/2025</t>
  </si>
  <si>
    <t>Brown-eyed susan</t>
  </si>
  <si>
    <t>10/07/2024,09/01/2025,09/07/2025</t>
  </si>
  <si>
    <t>08/13/2023,09/01/2025,09/07/2025</t>
  </si>
  <si>
    <t>06/16/2020, 07/13/2024,09/07/2025</t>
  </si>
  <si>
    <t>Perennial sow thistle</t>
  </si>
  <si>
    <t>Sonchus arvensis</t>
  </si>
  <si>
    <t>08/13/2023, 10/07/2024, 08/09/2025, 08/23/2025,09/07/2025</t>
  </si>
  <si>
    <t>Nodding beggarticks</t>
  </si>
  <si>
    <t>08/13/2023, 10/07/2024,09/07/2025</t>
  </si>
  <si>
    <t>06/19/2018, 06/04/2024, 08/09/2025,09/07/2025</t>
  </si>
  <si>
    <t>08/16/2018,09/07/2025</t>
  </si>
  <si>
    <t>10/14/2022, 08/23/2025,09/01/2025,09/07/2025</t>
  </si>
  <si>
    <t>08/13/2023, 08/23/2025,09/07/2025</t>
  </si>
  <si>
    <t>06/20/2018, 08/14/2021,09/07/2025</t>
  </si>
  <si>
    <t>08/16/2018, 08/10/2019, 08/14/2021, 08/13/2023, 10/07/2024,09/07/2025</t>
  </si>
  <si>
    <t xml:space="preserve">Red raspberry </t>
  </si>
  <si>
    <t>04/11/2019, 07/13/2023, 06/18/2024,09/07/2025</t>
  </si>
  <si>
    <t>06/16/2019, 06/11/2020,09/07/2025</t>
  </si>
  <si>
    <t>06/04/2024, 08/23/2025,09/07/2025,10/06/2025</t>
  </si>
  <si>
    <t>Shining aster</t>
  </si>
  <si>
    <t>Symphyotrichum firmum</t>
  </si>
  <si>
    <t>06/16/2020, 08/14/2021,09/07/2025</t>
  </si>
  <si>
    <t>Common yarrow</t>
  </si>
  <si>
    <t>Achillea millefolium</t>
  </si>
  <si>
    <t>Common self-heal</t>
  </si>
  <si>
    <t>08/09/2025, 08/23/2025,09/07/2025</t>
  </si>
  <si>
    <t>9/1/2025,09/07/2025</t>
  </si>
  <si>
    <t>Viburnum opulus</t>
  </si>
  <si>
    <t>Guelder rose</t>
  </si>
  <si>
    <t>Giant sunflower</t>
  </si>
  <si>
    <t>08/09/2025,09/07/2025</t>
  </si>
  <si>
    <t>08/13/2023, 06/04/2024, 06/18/2024, 08/09/2025, 08/23/2025,09/07/2025</t>
  </si>
  <si>
    <t>Tall hairy agrimony</t>
  </si>
  <si>
    <t>08/16/2018, 07/24/2019,09/07/2025</t>
  </si>
  <si>
    <t>10/14/2018, 04/23/2019, 05/13/2020, 05/21/2021, 06/04/2023,09/07/2025</t>
  </si>
  <si>
    <t>Great blue lobelia</t>
  </si>
  <si>
    <t>08/11/2022,09/07/2025</t>
  </si>
  <si>
    <t>09/01/2025,09/07/2025</t>
  </si>
  <si>
    <t>Tall blue lettuce</t>
  </si>
  <si>
    <t>Lactuca biennis</t>
  </si>
  <si>
    <t>08/14/2021,09/07/2025</t>
  </si>
  <si>
    <t>05/06/2024,08/09/2025</t>
  </si>
  <si>
    <t>Canadian wild ginger</t>
  </si>
  <si>
    <t>05/13/2020, 05/09/2022, 08/10/2023, 06/04/2024,09/01/2025,09/07/2025</t>
  </si>
  <si>
    <t>11/2/2025,09/01/2025,09/07/2025</t>
  </si>
  <si>
    <t>Solomon's plume</t>
  </si>
  <si>
    <t>09/24/2023,09/07/2025</t>
  </si>
  <si>
    <t>Bitternut hickory</t>
  </si>
  <si>
    <t>Carya cordiformis</t>
  </si>
  <si>
    <t>Milkweed tussock moth</t>
  </si>
  <si>
    <t>Euchaetes egle</t>
  </si>
  <si>
    <t>Lygus lineolaris</t>
  </si>
  <si>
    <t>North american tarnished plant bug</t>
  </si>
  <si>
    <t>Macremphytus tarsatus</t>
  </si>
  <si>
    <t>Parallelodiplosis subtruncata</t>
  </si>
  <si>
    <t>09/07/2025</t>
  </si>
  <si>
    <t>Zelus luridus</t>
  </si>
  <si>
    <t>White banded crab spider</t>
  </si>
  <si>
    <t>Misumenoides formosipes</t>
  </si>
  <si>
    <t>10/22/2018, 04/23/2019, 04/07/2023,09/07/2025,10/06/2025</t>
  </si>
  <si>
    <t>07/21/2020, 07/22/2021, 08/14/2021,09/01/2025,09/07/2025</t>
  </si>
  <si>
    <t>07/19/2018,  10/11/2018, 08/10/2019, 10/08/2019,10/26/2019,  06/16/2020, 07/21/2020, 09/14/2020, 10/08/2020, 10/14/2020, 08/14/2021, 09/08/2021, 09/20/2021,1102/2025 10/20/2021, 04/22/2022, 05/09/2022, 05/30/2022, 06/04/2022, 06/19/2022, 11/03/2022, 04/07/2023, 06/04/2023, 07/13/2023, 09/24/2023,10/05/2023, 10/18/2023, 05/06/2024, 06/04/2024, 06/15/2024, 06/18/2024, 10/07/2024, 09/12/2024, 10/20/2024, 11/09/2024,09/01/2025,09/07/2025,10/06/2025,11/02/2025</t>
  </si>
  <si>
    <t>07/19/2018, 08/16/2018, 09/27/2018,  10/11/2018, 10/22/2018, 04/11/2019, 04/23/2019, 05/07/2019, 06/09/2019, 08/10/2019, 10/08/2019, 10/26/2019, 06/16/2020, 07/21/2020, 09/14/2020, 10/14/2020, 07/22/2021, 08/14/2021, 09/08/2021, 10/20/2021, 04/09/2022, 04/22/2022, 05/09/2022, 05/30/2022, 08/11/2022,09/01/2025,09/07/2025 10/14/2022,11/22/2025 11/03/2022, 04/07/2023, 05/19/2023, 06/04/2023, 07/13/2023,  08/10/2023, 09/24/2023, 10/18/2023, 04/10/2024, 04/21/2024, 05/06/2024, 06/15/2024, 06/18/2024, 10/07/2024, 10/20/2024, 11/09/2024, 08/09/2025,09/07/2025,10/06/2025</t>
  </si>
  <si>
    <t>07/19/2018, 08/16/2018, 08/10/2019, 10/26/2019, 06/11/2020, 06/16/2020, 07/21/2020, 08/14/2021, 04/22/2022, 05/30/2022, 08/11/2022, 04/07/2023, 07/13/2023, 08/13/2023, 10/05/2023, 05/06/2024, 06/04/2024, 06/18/2024, 07/20/2024, 08/04/2024, 09/12/2024, 10/07/2024, 11/09/2024, 07/21/2025, 08/09/2025,09/01/2025,09/07/2025</t>
  </si>
  <si>
    <t>08/10/2019, 10/26/2019, 04/07/2023, 10/05/2023, 09/12/2024,09/01/2025,09/07/2025,10/06/2025,11/02/2025,11/22/2025,</t>
  </si>
  <si>
    <t>Crown tipped coral</t>
  </si>
  <si>
    <t>Artomyces pyxidatus</t>
  </si>
  <si>
    <t>Amanita frostiana</t>
  </si>
  <si>
    <t>Frost's amanita</t>
  </si>
  <si>
    <t>Pholiota granulosa</t>
  </si>
  <si>
    <t>09/09/2018,09/01/2025,09/07/2025</t>
  </si>
  <si>
    <t>Leopard frog</t>
  </si>
  <si>
    <t>Midland painted turtle</t>
  </si>
  <si>
    <t>Tetraploid gray treefrog</t>
  </si>
  <si>
    <t>Black bear</t>
  </si>
  <si>
    <t>Eastern cottontail rabbit</t>
  </si>
  <si>
    <t>Field mouse</t>
  </si>
  <si>
    <t>Red squirrel</t>
  </si>
  <si>
    <t>River otter</t>
  </si>
  <si>
    <t>Common garter snake</t>
  </si>
  <si>
    <t>Alder flycatcher</t>
  </si>
  <si>
    <t>American crow</t>
  </si>
  <si>
    <t>American tree sparrow</t>
  </si>
  <si>
    <t>Baltimore oriole</t>
  </si>
  <si>
    <t>Black and white warbler</t>
  </si>
  <si>
    <t>Black billed cuckoo</t>
  </si>
  <si>
    <t>Black capped chickadee</t>
  </si>
  <si>
    <t xml:space="preserve">Blue jay </t>
  </si>
  <si>
    <t>Blue winged warbler</t>
  </si>
  <si>
    <t>Black-throated green warbler</t>
  </si>
  <si>
    <t>Bobolink</t>
  </si>
  <si>
    <t>Brown creeper</t>
  </si>
  <si>
    <t>Brown headed cowbird</t>
  </si>
  <si>
    <t>Brown thrasher</t>
  </si>
  <si>
    <t>Cedar waxwing</t>
  </si>
  <si>
    <t xml:space="preserve">Chestnut sided warbler </t>
  </si>
  <si>
    <t>Chipping sparrow</t>
  </si>
  <si>
    <t>Common grackle</t>
  </si>
  <si>
    <t>Common yellowthroat</t>
  </si>
  <si>
    <t>Common raven</t>
  </si>
  <si>
    <t>Clay-colored sparrow</t>
  </si>
  <si>
    <t>Downy woodpecker</t>
  </si>
  <si>
    <t>Eastern bluebird</t>
  </si>
  <si>
    <t>Eastern kingbird</t>
  </si>
  <si>
    <t>06/16/2020,08/10/2023, 08/13/2023</t>
  </si>
  <si>
    <t xml:space="preserve">Eastern phoebe </t>
  </si>
  <si>
    <t>Eastern towhee</t>
  </si>
  <si>
    <t>Eastern wood pewee</t>
  </si>
  <si>
    <t>European starling</t>
  </si>
  <si>
    <t>Field sparrow</t>
  </si>
  <si>
    <t>Golden-crowned kinglet</t>
  </si>
  <si>
    <t>Gray catbird</t>
  </si>
  <si>
    <t>Great blue heron</t>
  </si>
  <si>
    <t>Great-crested flycatcher</t>
  </si>
  <si>
    <t>Hairy woodpecker</t>
  </si>
  <si>
    <t>House wren</t>
  </si>
  <si>
    <t xml:space="preserve">Indigo bunting </t>
  </si>
  <si>
    <t>Killdeer</t>
  </si>
  <si>
    <t>Mourning dove</t>
  </si>
  <si>
    <t xml:space="preserve">Mourning warbler </t>
  </si>
  <si>
    <t xml:space="preserve">Northern cardinal </t>
  </si>
  <si>
    <t>Northern flicker</t>
  </si>
  <si>
    <t>Ovenbird</t>
  </si>
  <si>
    <t>Pileated woodpecker</t>
  </si>
  <si>
    <t>Pine warbler</t>
  </si>
  <si>
    <t>Red bellied woodpecker</t>
  </si>
  <si>
    <t>Red breasted nuthatch</t>
  </si>
  <si>
    <t>Red eyed vireo</t>
  </si>
  <si>
    <t>Red winged blackbird</t>
  </si>
  <si>
    <t>Red-tailed hawk</t>
  </si>
  <si>
    <t>Ring billed gull</t>
  </si>
  <si>
    <t>Rock pidgeon</t>
  </si>
  <si>
    <t>Ruffed grouse</t>
  </si>
  <si>
    <t>Sandhill crane</t>
  </si>
  <si>
    <t>Savannah sparrow</t>
  </si>
  <si>
    <t>Scarlet tanager</t>
  </si>
  <si>
    <t>Song sparrow</t>
  </si>
  <si>
    <t>Spotted sandpiper</t>
  </si>
  <si>
    <t>Swamp sparrow</t>
  </si>
  <si>
    <t>Tree swallow</t>
  </si>
  <si>
    <t>Warbling vireo</t>
  </si>
  <si>
    <t>White crowned sparrow</t>
  </si>
  <si>
    <t xml:space="preserve">White throated sparrow </t>
  </si>
  <si>
    <t>Winter wren</t>
  </si>
  <si>
    <t>Wood thrush</t>
  </si>
  <si>
    <t>Yellow warbler</t>
  </si>
  <si>
    <t>Winter aconite</t>
  </si>
  <si>
    <t>Alsike clover</t>
  </si>
  <si>
    <t>American aster</t>
  </si>
  <si>
    <t>American bugleweed</t>
  </si>
  <si>
    <t>American lopseed</t>
  </si>
  <si>
    <t>American plantain</t>
  </si>
  <si>
    <t>Apple tree</t>
  </si>
  <si>
    <t>Autumn olive</t>
  </si>
  <si>
    <t>Bebb's willow</t>
  </si>
  <si>
    <t>Beebalm</t>
  </si>
  <si>
    <t>Bells campanula</t>
  </si>
  <si>
    <t>Bird vetch</t>
  </si>
  <si>
    <t>Black medic</t>
  </si>
  <si>
    <t>Black-eyed susan</t>
  </si>
  <si>
    <t>Bloodroot</t>
  </si>
  <si>
    <t>Blue cohosh</t>
  </si>
  <si>
    <t>Blue vervain</t>
  </si>
  <si>
    <t>Blue violet</t>
  </si>
  <si>
    <t>Boneset</t>
  </si>
  <si>
    <t>Broad leaved aster</t>
  </si>
  <si>
    <t>Common buckthorn</t>
  </si>
  <si>
    <t>Rhamnus cathartica</t>
  </si>
  <si>
    <t>Bull thistle</t>
  </si>
  <si>
    <t>Bur marigold</t>
  </si>
  <si>
    <t>Bur-reed sedge</t>
  </si>
  <si>
    <t>Buttercup</t>
  </si>
  <si>
    <t>Button bush</t>
  </si>
  <si>
    <t>Canada mayflower</t>
  </si>
  <si>
    <t>Canadian wild rye</t>
  </si>
  <si>
    <t xml:space="preserve">Northern catalpa </t>
  </si>
  <si>
    <t>Catalpa speciosa</t>
  </si>
  <si>
    <t>Cattail</t>
  </si>
  <si>
    <t>Common chicory</t>
  </si>
  <si>
    <t>Cocklebur</t>
  </si>
  <si>
    <t>Coltsfoot</t>
  </si>
  <si>
    <t>Columbines</t>
  </si>
  <si>
    <t>Genus (Aquilegia)</t>
  </si>
  <si>
    <t>Common evening primose</t>
  </si>
  <si>
    <t xml:space="preserve">Common hedge parsley </t>
  </si>
  <si>
    <t>Common jewel weed</t>
  </si>
  <si>
    <t>Common mugwort</t>
  </si>
  <si>
    <t>Common plantain</t>
  </si>
  <si>
    <t>Common snowdrops</t>
  </si>
  <si>
    <t>Common toad flax</t>
  </si>
  <si>
    <t>Common willow herb</t>
  </si>
  <si>
    <t>Cow vetch</t>
  </si>
  <si>
    <t>Cranesbill</t>
  </si>
  <si>
    <t>Creeping bellflower</t>
  </si>
  <si>
    <t>Creeping thistle</t>
  </si>
  <si>
    <t>Curly dock</t>
  </si>
  <si>
    <t>Daisy</t>
  </si>
  <si>
    <t>Daisy fleabane</t>
  </si>
  <si>
    <t>Dame's rocket</t>
  </si>
  <si>
    <t>Dandelion</t>
  </si>
  <si>
    <t>Devils beggarticks</t>
  </si>
  <si>
    <t>Purple cone flower</t>
  </si>
  <si>
    <t>Elecampane</t>
  </si>
  <si>
    <t>False solomons seal</t>
  </si>
  <si>
    <t>False sunflower</t>
  </si>
  <si>
    <t>Field pussytoes</t>
  </si>
  <si>
    <t>Fleabane</t>
  </si>
  <si>
    <t>Forget me not</t>
  </si>
  <si>
    <t>Fox sedge</t>
  </si>
  <si>
    <t>Foxglove beardtongue</t>
  </si>
  <si>
    <t>Garlic mustard</t>
  </si>
  <si>
    <t>Goldenrod</t>
  </si>
  <si>
    <t>Graceful sedge</t>
  </si>
  <si>
    <t>Grapevine</t>
  </si>
  <si>
    <t>Grass leaved goldenrod</t>
  </si>
  <si>
    <t>Gray dogwood</t>
  </si>
  <si>
    <t>Great ragweed</t>
  </si>
  <si>
    <t>Green ash</t>
  </si>
  <si>
    <t>Grey headed coneflower</t>
  </si>
  <si>
    <t>Heal all</t>
  </si>
  <si>
    <t>Heart leaved willow</t>
  </si>
  <si>
    <t>Henbit</t>
  </si>
  <si>
    <t xml:space="preserve">Genus </t>
  </si>
  <si>
    <t>Herb robert</t>
  </si>
  <si>
    <t>Highbush cranberry</t>
  </si>
  <si>
    <t>Honeysuckle</t>
  </si>
  <si>
    <t>Jack in the pulpit</t>
  </si>
  <si>
    <t>Jewel weed</t>
  </si>
  <si>
    <t>Large fruited burreed</t>
  </si>
  <si>
    <t>Lily of the valley</t>
  </si>
  <si>
    <t>Long stalked sedge</t>
  </si>
  <si>
    <t>Marsh marygolds</t>
  </si>
  <si>
    <t>Meadow buttercup</t>
  </si>
  <si>
    <t>Meadow soft grass</t>
  </si>
  <si>
    <t>Common milkweed</t>
  </si>
  <si>
    <t>New england aster</t>
  </si>
  <si>
    <t>New york aster</t>
  </si>
  <si>
    <t>Northern bugleweed</t>
  </si>
  <si>
    <t>Ostrich fern</t>
  </si>
  <si>
    <t>Ox-eye daisy</t>
  </si>
  <si>
    <t>Panicled aster</t>
  </si>
  <si>
    <t>Periwinkle</t>
  </si>
  <si>
    <t>Philadelphia fleabane</t>
  </si>
  <si>
    <t>Phlox</t>
  </si>
  <si>
    <t>Phragmites</t>
  </si>
  <si>
    <t>Pin cherry</t>
  </si>
  <si>
    <t>Poison ivy</t>
  </si>
  <si>
    <t>Symphyotrichum patens</t>
  </si>
  <si>
    <t>Late purple aster</t>
  </si>
  <si>
    <t>Purple clover</t>
  </si>
  <si>
    <t>Purple loostrife</t>
  </si>
  <si>
    <t>Purple violets</t>
  </si>
  <si>
    <t>Purpleleaf willowherb</t>
  </si>
  <si>
    <t>Queen anne's lace</t>
  </si>
  <si>
    <t>Ambrosia artemisiifolia</t>
  </si>
  <si>
    <t>Red baneberry</t>
  </si>
  <si>
    <t>Red clover</t>
  </si>
  <si>
    <t>Red elderberry</t>
  </si>
  <si>
    <t>Red osier dogwood</t>
  </si>
  <si>
    <t>Red top grass</t>
  </si>
  <si>
    <t>Reed canary grass</t>
  </si>
  <si>
    <t>Schrebers big red stem moss</t>
  </si>
  <si>
    <t>07/04/2024,10/07/2024, 08/09/2025,09/07/2025</t>
  </si>
  <si>
    <t>Scotch thistle</t>
  </si>
  <si>
    <t>Scots pine</t>
  </si>
  <si>
    <t>Siberian squill</t>
  </si>
  <si>
    <t>Silky dogwood</t>
  </si>
  <si>
    <t>Small flowered evening primose</t>
  </si>
  <si>
    <t>Soft stem bulrush</t>
  </si>
  <si>
    <t>07/14/2020, 08/13/2023,08/09/2025,09/07/2025</t>
  </si>
  <si>
    <t>Spotted joe pye weed</t>
  </si>
  <si>
    <t>Spotted knapweed</t>
  </si>
  <si>
    <t>Spotted water hemlock</t>
  </si>
  <si>
    <t>Spreading dogbane</t>
  </si>
  <si>
    <t>Staghorn sumac</t>
  </si>
  <si>
    <t>Stinging nettle</t>
  </si>
  <si>
    <t>Swamp milkweed</t>
  </si>
  <si>
    <t>Sweet white clover</t>
  </si>
  <si>
    <t>Tall buttercup</t>
  </si>
  <si>
    <t>Tall sunflower</t>
  </si>
  <si>
    <t>Tamarack</t>
  </si>
  <si>
    <t>Tiger lily</t>
  </si>
  <si>
    <t>Trembling aspen</t>
  </si>
  <si>
    <t>Trillium, white</t>
  </si>
  <si>
    <t>Troublesome sedge</t>
  </si>
  <si>
    <t>Trout lily</t>
  </si>
  <si>
    <t>Tufted vetch</t>
  </si>
  <si>
    <t>Virginia waterleaf</t>
  </si>
  <si>
    <t>Water horehound</t>
  </si>
  <si>
    <t>White ash</t>
  </si>
  <si>
    <t>White baneberry</t>
  </si>
  <si>
    <t>White coral fungus</t>
  </si>
  <si>
    <t>White turtlehead</t>
  </si>
  <si>
    <t>White violet</t>
  </si>
  <si>
    <t>Wild angelica</t>
  </si>
  <si>
    <t>Wild asparagus</t>
  </si>
  <si>
    <t>Wild bergamot</t>
  </si>
  <si>
    <t>Wild blue phlox</t>
  </si>
  <si>
    <t>Wild cucumber</t>
  </si>
  <si>
    <t>Wild garlic</t>
  </si>
  <si>
    <t>Wild grapevine</t>
  </si>
  <si>
    <t>Wild hyacinth</t>
  </si>
  <si>
    <t>Wild lettuce</t>
  </si>
  <si>
    <t>Lactuca virosa</t>
  </si>
  <si>
    <t>Wild sarsaparilla</t>
  </si>
  <si>
    <t>Wood nettle</t>
  </si>
  <si>
    <t>Woodland sunflower</t>
  </si>
  <si>
    <t>Yellow avens</t>
  </si>
  <si>
    <t>Yellow sweet clover</t>
  </si>
  <si>
    <t>Yellow goats beard</t>
  </si>
  <si>
    <t>Yellow hawkweed</t>
  </si>
  <si>
    <t>Yellow lady slippers</t>
  </si>
  <si>
    <t>Zigzag goldenrod</t>
  </si>
  <si>
    <t>Crickets</t>
  </si>
  <si>
    <t>Hummingbird moth</t>
  </si>
  <si>
    <t>Pale green assasin bug</t>
  </si>
  <si>
    <t>Sum of dates observed</t>
  </si>
  <si>
    <t>American robin</t>
  </si>
  <si>
    <t>Belted kingfisher</t>
  </si>
  <si>
    <t>Birds-foot trefoil</t>
  </si>
  <si>
    <t>Common ragweed</t>
  </si>
  <si>
    <t>Solidago flexicaulis</t>
  </si>
  <si>
    <t>Common mullein</t>
  </si>
  <si>
    <t>Wild parsnip</t>
  </si>
  <si>
    <t>Yellow violet</t>
  </si>
  <si>
    <t>St. John's wort</t>
  </si>
  <si>
    <t>Sulphur cinquefoil</t>
  </si>
  <si>
    <t>Tall meadowrue</t>
  </si>
  <si>
    <t>Tall thimbleweed</t>
  </si>
  <si>
    <t>Tartarian honeysuckle</t>
  </si>
  <si>
    <t>Thin-leafed coneflower</t>
  </si>
  <si>
    <t>Toad flax</t>
  </si>
  <si>
    <t>Virginia creeper</t>
  </si>
  <si>
    <t>Hydrophyllum virginianum</t>
  </si>
  <si>
    <t>White pine</t>
  </si>
  <si>
    <t>White spruce</t>
  </si>
  <si>
    <t>American dagger moth</t>
  </si>
  <si>
    <t>Banded tussock moth</t>
  </si>
  <si>
    <t>Brushfoot butteryfly</t>
  </si>
  <si>
    <t>Common wood nymph</t>
  </si>
  <si>
    <t>Crescent butterflies</t>
  </si>
  <si>
    <t>Deer fly</t>
  </si>
  <si>
    <t>Dogwood eyespot gall midge</t>
  </si>
  <si>
    <t>Dogwood sawfly</t>
  </si>
  <si>
    <t>Eastern tiger swallowtail</t>
  </si>
  <si>
    <t>Ebony jewelwing</t>
  </si>
  <si>
    <t>Emerald ash borer</t>
  </si>
  <si>
    <t>European skipper butterfly</t>
  </si>
  <si>
    <t>Goldenrod soldier beetle</t>
  </si>
  <si>
    <t>Hickory tussock moth</t>
  </si>
  <si>
    <t>Monarch butterfly</t>
  </si>
  <si>
    <t>Mourning cloak</t>
  </si>
  <si>
    <t>Northern crescent butterfly</t>
  </si>
  <si>
    <t>Painted lady</t>
  </si>
  <si>
    <t>Pearl crescent butterfly</t>
  </si>
  <si>
    <t>Question mark butterfly</t>
  </si>
  <si>
    <t>Red admiral butterfly</t>
  </si>
  <si>
    <t>Red milkweed beetle</t>
  </si>
  <si>
    <t>Robber flies</t>
  </si>
  <si>
    <t>Seven-spot ladybird (Ladybug)</t>
  </si>
  <si>
    <t>Spring azures</t>
  </si>
  <si>
    <t>Summer azures</t>
  </si>
  <si>
    <t>Tent caterpillars</t>
  </si>
  <si>
    <t>Two-striped planthopper</t>
  </si>
  <si>
    <t>Virginia tiger moth</t>
  </si>
  <si>
    <t>White admiral butterfly</t>
  </si>
  <si>
    <t>Dryad's saddle</t>
  </si>
  <si>
    <t>Giant puffball</t>
  </si>
  <si>
    <t>Mica caps</t>
  </si>
  <si>
    <t>Oyster mushrooms</t>
  </si>
  <si>
    <t>Bittersweet nightshade</t>
  </si>
  <si>
    <t>Alternate Leaved dogwood</t>
  </si>
  <si>
    <t>Yellow-throated warbler</t>
  </si>
  <si>
    <t>White-breasted nuthatch</t>
  </si>
  <si>
    <t>Rose-breasted grosbeak</t>
  </si>
  <si>
    <t>Ruby-crowned kinglet</t>
  </si>
  <si>
    <t>Amecian goldfinch</t>
  </si>
  <si>
    <t>American elm</t>
  </si>
  <si>
    <t>Blues stem grass</t>
  </si>
  <si>
    <t>Blue stemmed goldenrod</t>
  </si>
  <si>
    <t>Dog stangling vine</t>
  </si>
  <si>
    <t>Eastern red cedar</t>
  </si>
  <si>
    <t>Enchanters nightshade</t>
  </si>
  <si>
    <t>English plantain</t>
  </si>
  <si>
    <t>Greater meadow rue</t>
  </si>
  <si>
    <t>Hairy solomons seal</t>
  </si>
  <si>
    <t>Heart leaved aster</t>
  </si>
  <si>
    <t>Heath aster</t>
  </si>
  <si>
    <t>Manitoba maple</t>
  </si>
  <si>
    <t>Northern white cedar</t>
  </si>
  <si>
    <t>Pearly everlasting</t>
  </si>
  <si>
    <t>Purple coneflower</t>
  </si>
  <si>
    <t>Pussy willow</t>
  </si>
  <si>
    <t>Smooth brome grass</t>
  </si>
  <si>
    <t>Snow drops</t>
  </si>
  <si>
    <t>Spotted touch-me-not</t>
  </si>
  <si>
    <t>Wooly caterpillar (Isabella tiger moth)</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</si>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</sst>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8" x14ac:knownFonts="1">
    <font>
      <sz val="11"/>
      <color theme="1"/>
      <name val="Calibri"/>
      <family val="2"/>
      <scheme val="minor"/>
    </font>
    <font>
      <b/>
      <sz val="20"/>
      <name val="Calibri"/>
      <family val="2"/>
      <scheme val="minor"/>
    </font>
    <font>
      <sz val="11"/>
      <name val="Calibri"/>
      <family val="2"/>
      <scheme val="minor"/>
    </font>
    <font>
      <sz val="12"/>
      <name val="Calibri"/>
      <family val="2"/>
      <scheme val="minor"/>
    </font>
    <font>
      <b/>
      <sz val="12"/>
      <name val="Calibri"/>
      <family val="2"/>
      <scheme val="minor"/>
    </font>
    <font>
      <i/>
      <sz val="12"/>
      <name val="Calibri"/>
      <family val="2"/>
      <scheme val="minor"/>
    </font>
    <font>
      <b/>
      <sz val="11"/>
      <name val="Calibri"/>
      <family val="2"/>
      <scheme val="minor"/>
    </font>
    <font>
      <i/>
      <sz val="12"/>
      <color theme="1"/>
      <name val="Calibri"/>
      <family val="2"/>
      <scheme val="minor"/>
    </font>
  </fonts>
  <fills count="5">
    <fill>
      <patternFill patternType="none"/>
    </fill>
    <fill>
      <patternFill patternType="gray125"/>
    </fill>
    <fill>
      <patternFill patternType="solid">
        <fgColor theme="0"/>
        <bgColor theme="4" tint="0.79998168889431442"/>
      </patternFill>
    </fill>
    <fill>
      <patternFill patternType="solid">
        <fgColor theme="0"/>
        <bgColor indexed="64"/>
      </patternFill>
    </fill>
    <fill>
      <patternFill patternType="solid">
        <fgColor rgb="FFF8F9FA"/>
        <bgColor indexed="64"/>
      </patternFill>
    </fill>
  </fills>
  <borders count="5">
    <border>
      <left/>
      <right/>
      <top/>
      <bottom/>
      <diagonal/>
    </border>
    <border>
      <left style="thin">
        <color theme="2"/>
      </left>
      <right style="thin">
        <color theme="2"/>
      </right>
      <top style="thin">
        <color theme="2"/>
      </top>
      <bottom style="thin">
        <color theme="2"/>
      </bottom>
      <diagonal/>
    </border>
    <border>
      <left style="thin">
        <color theme="2"/>
      </left>
      <right/>
      <top/>
      <bottom/>
      <diagonal/>
    </border>
    <border>
      <left/>
      <right style="thin">
        <color theme="2"/>
      </right>
      <top/>
      <bottom/>
      <diagonal/>
    </border>
    <border>
      <left style="thin">
        <color theme="2"/>
      </left>
      <right style="thin">
        <color theme="2"/>
      </right>
      <top style="thin">
        <color theme="2"/>
      </top>
      <bottom/>
      <diagonal/>
    </border>
  </borders>
  <cellStyleXfs count="1">
    <xf numFmtId="0" fontId="0" fillId="0" borderId="0"/>
  </cellStyleXfs>
  <cellXfs count="27">
    <xf numFmtId="0" fontId="0" fillId="0" borderId="0" xfId="0"/>
    <xf numFmtId="0" fontId="1" fillId="0" borderId="0" xfId="0" applyFont="1"/>
    <xf numFmtId="0" fontId="2" fillId="0" borderId="0" xfId="0" applyFont="1"/>
    <xf numFmtId="0" fontId="3" fillId="0" borderId="0" xfId="0" applyFont="1"/>
    <xf numFmtId="14" fontId="4" fillId="0" borderId="0" xfId="0" applyNumberFormat="1" applyFont="1"/>
    <xf numFmtId="0" fontId="4" fillId="0" borderId="0" xfId="0" applyFont="1"/>
    <xf numFmtId="0" fontId="5" fillId="0" borderId="0" xfId="0" applyFont="1"/>
    <xf numFmtId="0" fontId="5" fillId="0" borderId="0" xfId="0" applyFont="1" applyAlignment="1">
      <alignment vertical="center" wrapText="1"/>
    </xf>
    <xf numFmtId="0" fontId="2" fillId="0" borderId="2" xfId="0" applyFont="1" applyBorder="1"/>
    <xf numFmtId="0" fontId="2" fillId="0" borderId="3" xfId="0" applyFont="1" applyBorder="1"/>
    <xf numFmtId="0" fontId="3" fillId="0" borderId="1" xfId="0" applyFont="1" applyBorder="1"/>
    <xf numFmtId="0" fontId="3" fillId="3" borderId="4" xfId="0" applyFont="1" applyFill="1" applyBorder="1"/>
    <xf numFmtId="0" fontId="3" fillId="2" borderId="1" xfId="0" applyFont="1" applyFill="1" applyBorder="1"/>
    <xf numFmtId="164" fontId="3" fillId="0" borderId="0" xfId="0" applyNumberFormat="1" applyFont="1"/>
    <xf numFmtId="0" fontId="3" fillId="0" borderId="3" xfId="0" applyFont="1" applyBorder="1"/>
    <xf numFmtId="16" fontId="3" fillId="0" borderId="0" xfId="0" applyNumberFormat="1" applyFont="1"/>
    <xf numFmtId="0" fontId="6" fillId="0" borderId="0" xfId="0" applyFont="1"/>
    <xf numFmtId="0" fontId="5" fillId="4" borderId="0" xfId="0" applyFont="1" applyFill="1" applyAlignment="1">
      <alignment horizontal="left" vertical="top" wrapText="1"/>
    </xf>
    <xf numFmtId="0" fontId="7" fillId="0" borderId="0" xfId="0" applyFont="1"/>
    <xf numFmtId="0" fontId="7" fillId="0" borderId="0" xfId="0" applyFont="1" applyAlignment="1">
      <alignment vertical="center" wrapText="1"/>
    </xf>
    <xf numFmtId="14" fontId="3" fillId="0" borderId="0" xfId="0" applyNumberFormat="1" applyFont="1" applyAlignment="1">
      <alignment horizontal="left"/>
    </xf>
    <xf numFmtId="14" fontId="3" fillId="0" borderId="0" xfId="0" applyNumberFormat="1" applyFont="1" applyAlignment="1">
      <alignment horizontal="left" vertical="top"/>
    </xf>
    <xf numFmtId="49" fontId="3" fillId="0" borderId="0" xfId="0" applyNumberFormat="1" applyFont="1" applyAlignment="1">
      <alignment horizontal="left"/>
    </xf>
    <xf numFmtId="49" fontId="3" fillId="0" borderId="0" xfId="0" applyNumberFormat="1" applyFont="1" applyAlignment="1">
      <alignment horizontal="left" vertical="top"/>
    </xf>
    <xf numFmtId="49" fontId="3" fillId="0" borderId="0" xfId="0" applyNumberFormat="1" applyFont="1"/>
    <xf numFmtId="0" fontId="2" fillId="0" borderId="0" xfId="0" applyFont="1" applyAlignment="1">
      <alignment horizontal="center"/>
    </xf>
    <xf numFmtId="0" fontId="6"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B6600-8182-418B-8562-28BCC4F3904A}">
  <dimension ref="A1:R412"/>
  <sheetViews>
    <sheetView tabSelected="1" topLeftCell="A3" zoomScale="85" zoomScaleNormal="85" workbookViewId="0">
      <selection activeCell="A4" sqref="A4"/>
    </sheetView>
  </sheetViews>
  <sheetFormatPr defaultColWidth="8.85546875" defaultRowHeight="15" x14ac:dyDescent="0.25"/>
  <cols>
    <col min="1" max="1" width="29.140625" style="2" customWidth="1"/>
    <col min="2" max="2" width="36.42578125" style="2" customWidth="1"/>
    <col min="3" max="3" width="36.85546875" style="2" customWidth="1"/>
    <col min="4" max="4" width="69.85546875" style="2" hidden="1" customWidth="1"/>
    <col min="5" max="5" width="13.42578125" style="2" hidden="1" customWidth="1"/>
    <col min="6" max="6" width="10.42578125" style="2" hidden="1" customWidth="1"/>
    <col min="7" max="7" width="9.42578125" style="2" hidden="1" customWidth="1"/>
    <col min="8" max="10" width="0" style="2" hidden="1" customWidth="1"/>
    <col min="11" max="11" width="19.85546875" style="25" customWidth="1"/>
    <col min="12" max="22" width="0" style="2" hidden="1" customWidth="1"/>
    <col min="23" max="16384" width="8.85546875" style="2"/>
  </cols>
  <sheetData>
    <row r="1" spans="1:18" ht="26.25" hidden="1" x14ac:dyDescent="0.4">
      <c r="A1" s="1" t="s">
        <v>42</v>
      </c>
    </row>
    <row r="2" spans="1:18" ht="26.25" hidden="1" x14ac:dyDescent="0.4">
      <c r="A2" s="1" t="s">
        <v>445</v>
      </c>
    </row>
    <row r="3" spans="1:18" ht="15.75" x14ac:dyDescent="0.25">
      <c r="A3" s="3" t="s">
        <v>1061</v>
      </c>
      <c r="B3" s="4" t="s">
        <v>0</v>
      </c>
      <c r="C3" s="5" t="s">
        <v>1</v>
      </c>
      <c r="D3" s="5" t="s">
        <v>17</v>
      </c>
      <c r="K3" s="26" t="s">
        <v>980</v>
      </c>
      <c r="L3" s="2" t="s">
        <v>449</v>
      </c>
      <c r="N3" s="2" t="s">
        <v>450</v>
      </c>
      <c r="R3" s="2" t="s">
        <v>448</v>
      </c>
    </row>
    <row r="4" spans="1:18" ht="15.75" x14ac:dyDescent="0.25">
      <c r="A4" s="5" t="s">
        <v>2</v>
      </c>
      <c r="B4" s="3" t="s">
        <v>3</v>
      </c>
      <c r="C4" s="6" t="s">
        <v>168</v>
      </c>
      <c r="D4" s="3" t="s">
        <v>113</v>
      </c>
      <c r="K4" s="25">
        <f>LEN(D4)-LEN(SUBSTITUTE(D4,",",""))+1</f>
        <v>5</v>
      </c>
    </row>
    <row r="5" spans="1:18" ht="15.75" x14ac:dyDescent="0.25">
      <c r="A5" s="5" t="s">
        <v>2</v>
      </c>
      <c r="B5" s="3" t="s">
        <v>738</v>
      </c>
      <c r="C5" s="6" t="s">
        <v>501</v>
      </c>
      <c r="D5" s="3" t="s">
        <v>487</v>
      </c>
      <c r="K5" s="25">
        <f>LEN(D5)-LEN(SUBSTITUTE(D5,",",""))+1</f>
        <v>1</v>
      </c>
    </row>
    <row r="6" spans="1:18" ht="15.75" x14ac:dyDescent="0.25">
      <c r="A6" s="5" t="s">
        <v>2</v>
      </c>
      <c r="B6" s="3" t="s">
        <v>4</v>
      </c>
      <c r="C6" s="6" t="s">
        <v>170</v>
      </c>
      <c r="D6" s="3" t="s">
        <v>128</v>
      </c>
      <c r="K6" s="25">
        <f>LEN(D6)-LEN(SUBSTITUTE(D6,",",""))+1</f>
        <v>4</v>
      </c>
    </row>
    <row r="7" spans="1:18" ht="15.75" x14ac:dyDescent="0.25">
      <c r="A7" s="5" t="s">
        <v>2</v>
      </c>
      <c r="B7" s="3" t="s">
        <v>5</v>
      </c>
      <c r="C7" s="6" t="s">
        <v>171</v>
      </c>
      <c r="D7" s="3" t="s">
        <v>119</v>
      </c>
      <c r="K7" s="25">
        <f t="shared" ref="K7:K57" si="0">LEN(D7)-LEN(SUBSTITUTE(D7,",",""))+1</f>
        <v>11</v>
      </c>
    </row>
    <row r="8" spans="1:18" ht="15.75" x14ac:dyDescent="0.25">
      <c r="A8" s="5" t="s">
        <v>2</v>
      </c>
      <c r="B8" s="3" t="s">
        <v>739</v>
      </c>
      <c r="C8" s="6" t="s">
        <v>169</v>
      </c>
      <c r="D8" s="3" t="s">
        <v>143</v>
      </c>
      <c r="K8" s="25">
        <f t="shared" si="0"/>
        <v>2</v>
      </c>
    </row>
    <row r="9" spans="1:18" ht="15.75" x14ac:dyDescent="0.25">
      <c r="A9" s="5" t="s">
        <v>2</v>
      </c>
      <c r="B9" s="3" t="s">
        <v>172</v>
      </c>
      <c r="C9" s="6" t="s">
        <v>173</v>
      </c>
      <c r="D9" s="3" t="s">
        <v>118</v>
      </c>
      <c r="K9" s="25">
        <f t="shared" si="0"/>
        <v>3</v>
      </c>
    </row>
    <row r="10" spans="1:18" ht="15.75" x14ac:dyDescent="0.25">
      <c r="A10" s="5" t="s">
        <v>2</v>
      </c>
      <c r="B10" s="3" t="s">
        <v>740</v>
      </c>
      <c r="C10" s="6" t="s">
        <v>174</v>
      </c>
      <c r="D10" s="3" t="s">
        <v>98</v>
      </c>
      <c r="K10" s="25">
        <f t="shared" si="0"/>
        <v>1</v>
      </c>
    </row>
    <row r="11" spans="1:18" ht="15.75" x14ac:dyDescent="0.25">
      <c r="A11" s="5" t="s">
        <v>2</v>
      </c>
      <c r="B11" s="3" t="s">
        <v>6</v>
      </c>
      <c r="C11" s="6" t="s">
        <v>175</v>
      </c>
      <c r="D11" s="3" t="s">
        <v>167</v>
      </c>
      <c r="K11" s="25">
        <f t="shared" si="0"/>
        <v>5</v>
      </c>
    </row>
    <row r="12" spans="1:18" ht="15.75" x14ac:dyDescent="0.25">
      <c r="A12" s="5" t="s">
        <v>2</v>
      </c>
      <c r="B12" s="3" t="s">
        <v>7</v>
      </c>
      <c r="C12" s="6" t="s">
        <v>176</v>
      </c>
      <c r="D12" s="3" t="s">
        <v>58</v>
      </c>
      <c r="K12" s="25">
        <f t="shared" si="0"/>
        <v>1</v>
      </c>
    </row>
    <row r="13" spans="1:18" ht="15.75" x14ac:dyDescent="0.25">
      <c r="A13" s="5" t="s">
        <v>2</v>
      </c>
      <c r="B13" s="3" t="s">
        <v>741</v>
      </c>
      <c r="C13" s="6" t="s">
        <v>177</v>
      </c>
      <c r="D13" s="3" t="s">
        <v>598</v>
      </c>
      <c r="K13" s="25">
        <f t="shared" si="0"/>
        <v>7</v>
      </c>
    </row>
    <row r="14" spans="1:18" ht="15.75" x14ac:dyDescent="0.25">
      <c r="A14" s="5" t="s">
        <v>2</v>
      </c>
      <c r="B14" s="3" t="s">
        <v>742</v>
      </c>
      <c r="C14" s="7" t="s">
        <v>178</v>
      </c>
      <c r="D14" s="3" t="s">
        <v>63</v>
      </c>
      <c r="K14" s="25">
        <f t="shared" si="0"/>
        <v>1</v>
      </c>
    </row>
    <row r="15" spans="1:18" ht="15.75" x14ac:dyDescent="0.25">
      <c r="A15" s="5" t="s">
        <v>2</v>
      </c>
      <c r="B15" s="3" t="s">
        <v>8</v>
      </c>
      <c r="C15" s="7" t="s">
        <v>179</v>
      </c>
      <c r="D15" s="3" t="s">
        <v>129</v>
      </c>
      <c r="K15" s="25">
        <f t="shared" si="0"/>
        <v>5</v>
      </c>
    </row>
    <row r="16" spans="1:18" ht="15.75" x14ac:dyDescent="0.25">
      <c r="A16" s="5" t="s">
        <v>9</v>
      </c>
      <c r="B16" s="3" t="s">
        <v>16</v>
      </c>
      <c r="C16" s="6" t="s">
        <v>180</v>
      </c>
      <c r="D16" s="3" t="s">
        <v>153</v>
      </c>
      <c r="K16" s="25">
        <f t="shared" si="0"/>
        <v>6</v>
      </c>
    </row>
    <row r="17" spans="1:11" ht="15.75" x14ac:dyDescent="0.25">
      <c r="A17" s="5" t="s">
        <v>9</v>
      </c>
      <c r="B17" s="3" t="s">
        <v>743</v>
      </c>
      <c r="C17" s="6" t="s">
        <v>181</v>
      </c>
      <c r="D17" s="3" t="s">
        <v>166</v>
      </c>
      <c r="K17" s="25">
        <f t="shared" si="0"/>
        <v>2</v>
      </c>
    </row>
    <row r="18" spans="1:11" ht="15.75" x14ac:dyDescent="0.25">
      <c r="A18" s="5" t="s">
        <v>9</v>
      </c>
      <c r="B18" s="3" t="s">
        <v>10</v>
      </c>
      <c r="C18" s="6" t="s">
        <v>181</v>
      </c>
      <c r="D18" s="3" t="s">
        <v>44</v>
      </c>
      <c r="K18" s="25">
        <f t="shared" si="0"/>
        <v>2</v>
      </c>
    </row>
    <row r="19" spans="1:11" ht="15.75" x14ac:dyDescent="0.25">
      <c r="A19" s="5" t="s">
        <v>9</v>
      </c>
      <c r="B19" s="3" t="s">
        <v>735</v>
      </c>
      <c r="C19" s="6" t="s">
        <v>182</v>
      </c>
      <c r="D19" s="3" t="s">
        <v>21</v>
      </c>
      <c r="K19" s="25">
        <f t="shared" si="0"/>
        <v>1</v>
      </c>
    </row>
    <row r="20" spans="1:11" ht="15.75" x14ac:dyDescent="0.25">
      <c r="A20" s="5" t="s">
        <v>9</v>
      </c>
      <c r="B20" s="3" t="s">
        <v>736</v>
      </c>
      <c r="C20" s="6" t="s">
        <v>183</v>
      </c>
      <c r="D20" s="3" t="s">
        <v>82</v>
      </c>
      <c r="K20" s="25">
        <f t="shared" si="0"/>
        <v>6</v>
      </c>
    </row>
    <row r="21" spans="1:11" ht="15.75" x14ac:dyDescent="0.25">
      <c r="A21" s="5" t="s">
        <v>9</v>
      </c>
      <c r="B21" s="3" t="s">
        <v>737</v>
      </c>
      <c r="C21" s="6" t="s">
        <v>184</v>
      </c>
      <c r="D21" s="3" t="s">
        <v>23</v>
      </c>
      <c r="K21" s="25">
        <f t="shared" si="0"/>
        <v>1</v>
      </c>
    </row>
    <row r="22" spans="1:11" ht="15.75" x14ac:dyDescent="0.25">
      <c r="A22" s="5" t="s">
        <v>11</v>
      </c>
      <c r="B22" s="3" t="s">
        <v>744</v>
      </c>
      <c r="C22" s="6" t="s">
        <v>74</v>
      </c>
      <c r="D22" s="3" t="s">
        <v>70</v>
      </c>
      <c r="K22" s="25">
        <f t="shared" si="0"/>
        <v>1</v>
      </c>
    </row>
    <row r="23" spans="1:11" ht="15.6" customHeight="1" x14ac:dyDescent="0.25">
      <c r="A23" s="5" t="s">
        <v>11</v>
      </c>
      <c r="B23" s="3" t="s">
        <v>1040</v>
      </c>
      <c r="C23" s="6" t="s">
        <v>185</v>
      </c>
      <c r="D23" s="3" t="s">
        <v>727</v>
      </c>
      <c r="K23" s="25">
        <f t="shared" si="0"/>
        <v>27</v>
      </c>
    </row>
    <row r="24" spans="1:11" ht="15.75" x14ac:dyDescent="0.25">
      <c r="A24" s="5" t="s">
        <v>11</v>
      </c>
      <c r="B24" s="3" t="s">
        <v>745</v>
      </c>
      <c r="C24" s="6" t="s">
        <v>75</v>
      </c>
      <c r="D24" s="3" t="s">
        <v>643</v>
      </c>
      <c r="K24" s="25">
        <f t="shared" si="0"/>
        <v>12</v>
      </c>
    </row>
    <row r="25" spans="1:11" ht="15.75" x14ac:dyDescent="0.25">
      <c r="A25" s="5" t="s">
        <v>11</v>
      </c>
      <c r="B25" s="3" t="s">
        <v>981</v>
      </c>
      <c r="C25" s="6" t="s">
        <v>186</v>
      </c>
      <c r="D25" s="3" t="s">
        <v>647</v>
      </c>
      <c r="K25" s="25">
        <f t="shared" si="0"/>
        <v>19</v>
      </c>
    </row>
    <row r="26" spans="1:11" ht="15.75" x14ac:dyDescent="0.25">
      <c r="A26" s="5" t="s">
        <v>11</v>
      </c>
      <c r="B26" s="3" t="s">
        <v>746</v>
      </c>
      <c r="C26" s="6" t="s">
        <v>187</v>
      </c>
      <c r="D26" s="3" t="s">
        <v>36</v>
      </c>
      <c r="K26" s="25">
        <f t="shared" si="0"/>
        <v>1</v>
      </c>
    </row>
    <row r="27" spans="1:11" ht="15.75" x14ac:dyDescent="0.25">
      <c r="A27" s="5" t="s">
        <v>11</v>
      </c>
      <c r="B27" s="3" t="s">
        <v>747</v>
      </c>
      <c r="C27" s="6" t="s">
        <v>188</v>
      </c>
      <c r="D27" s="3" t="s">
        <v>236</v>
      </c>
      <c r="G27" s="8"/>
      <c r="I27" s="9"/>
      <c r="K27" s="25">
        <f t="shared" si="0"/>
        <v>8</v>
      </c>
    </row>
    <row r="28" spans="1:11" ht="15.75" x14ac:dyDescent="0.25">
      <c r="A28" s="5" t="s">
        <v>11</v>
      </c>
      <c r="B28" s="10" t="s">
        <v>982</v>
      </c>
      <c r="C28" s="6" t="s">
        <v>189</v>
      </c>
      <c r="D28" s="10" t="s">
        <v>640</v>
      </c>
      <c r="K28" s="25">
        <f t="shared" si="0"/>
        <v>4</v>
      </c>
    </row>
    <row r="29" spans="1:11" ht="15.75" x14ac:dyDescent="0.25">
      <c r="A29" s="5" t="s">
        <v>11</v>
      </c>
      <c r="B29" s="10" t="s">
        <v>748</v>
      </c>
      <c r="C29" s="6" t="s">
        <v>190</v>
      </c>
      <c r="D29" s="10" t="s">
        <v>70</v>
      </c>
      <c r="K29" s="25">
        <f t="shared" si="0"/>
        <v>1</v>
      </c>
    </row>
    <row r="30" spans="1:11" ht="15.75" x14ac:dyDescent="0.25">
      <c r="A30" s="5" t="s">
        <v>11</v>
      </c>
      <c r="B30" s="11" t="s">
        <v>749</v>
      </c>
      <c r="C30" s="6" t="s">
        <v>191</v>
      </c>
      <c r="D30" s="11" t="s">
        <v>491</v>
      </c>
      <c r="K30" s="25">
        <f t="shared" si="0"/>
        <v>4</v>
      </c>
    </row>
    <row r="31" spans="1:11" ht="15.75" x14ac:dyDescent="0.25">
      <c r="A31" s="5" t="s">
        <v>11</v>
      </c>
      <c r="B31" s="12" t="s">
        <v>750</v>
      </c>
      <c r="C31" s="6" t="s">
        <v>192</v>
      </c>
      <c r="D31" s="12" t="s">
        <v>726</v>
      </c>
      <c r="K31" s="25">
        <f t="shared" si="0"/>
        <v>46</v>
      </c>
    </row>
    <row r="32" spans="1:11" ht="15.75" x14ac:dyDescent="0.25">
      <c r="A32" s="5" t="s">
        <v>11</v>
      </c>
      <c r="B32" s="3" t="s">
        <v>753</v>
      </c>
      <c r="C32" s="6" t="s">
        <v>193</v>
      </c>
      <c r="D32" s="3" t="s">
        <v>55</v>
      </c>
      <c r="K32" s="25">
        <f t="shared" si="0"/>
        <v>1</v>
      </c>
    </row>
    <row r="33" spans="1:11" ht="15.75" x14ac:dyDescent="0.25">
      <c r="A33" s="5" t="s">
        <v>11</v>
      </c>
      <c r="B33" s="3" t="s">
        <v>751</v>
      </c>
      <c r="C33" s="6" t="s">
        <v>194</v>
      </c>
      <c r="D33" s="13" t="s">
        <v>725</v>
      </c>
      <c r="K33" s="25">
        <f t="shared" si="0"/>
        <v>38</v>
      </c>
    </row>
    <row r="34" spans="1:11" ht="15.75" x14ac:dyDescent="0.25">
      <c r="A34" s="5" t="s">
        <v>11</v>
      </c>
      <c r="B34" s="14" t="s">
        <v>752</v>
      </c>
      <c r="C34" s="6" t="s">
        <v>195</v>
      </c>
      <c r="D34" s="3" t="s">
        <v>76</v>
      </c>
      <c r="K34" s="25">
        <f t="shared" si="0"/>
        <v>2</v>
      </c>
    </row>
    <row r="35" spans="1:11" ht="15.75" x14ac:dyDescent="0.25">
      <c r="A35" s="5" t="s">
        <v>11</v>
      </c>
      <c r="B35" s="3" t="s">
        <v>754</v>
      </c>
      <c r="C35" s="6" t="s">
        <v>196</v>
      </c>
      <c r="D35" s="3" t="s">
        <v>70</v>
      </c>
      <c r="K35" s="25">
        <f t="shared" si="0"/>
        <v>1</v>
      </c>
    </row>
    <row r="36" spans="1:11" ht="15.75" x14ac:dyDescent="0.25">
      <c r="A36" s="5" t="s">
        <v>11</v>
      </c>
      <c r="B36" s="3" t="s">
        <v>755</v>
      </c>
      <c r="C36" s="6" t="s">
        <v>198</v>
      </c>
      <c r="D36" s="3" t="s">
        <v>36</v>
      </c>
      <c r="K36" s="25">
        <f t="shared" si="0"/>
        <v>1</v>
      </c>
    </row>
    <row r="37" spans="1:11" ht="15.75" x14ac:dyDescent="0.25">
      <c r="A37" s="5" t="s">
        <v>11</v>
      </c>
      <c r="B37" s="3" t="s">
        <v>756</v>
      </c>
      <c r="C37" s="6" t="s">
        <v>199</v>
      </c>
      <c r="D37" s="3" t="s">
        <v>70</v>
      </c>
      <c r="K37" s="25">
        <f t="shared" si="0"/>
        <v>1</v>
      </c>
    </row>
    <row r="38" spans="1:11" ht="15.75" x14ac:dyDescent="0.25">
      <c r="A38" s="5" t="s">
        <v>11</v>
      </c>
      <c r="B38" s="3" t="s">
        <v>757</v>
      </c>
      <c r="C38" s="6" t="s">
        <v>200</v>
      </c>
      <c r="D38" s="3" t="s">
        <v>70</v>
      </c>
      <c r="K38" s="25">
        <f t="shared" si="0"/>
        <v>1</v>
      </c>
    </row>
    <row r="39" spans="1:11" ht="15.75" x14ac:dyDescent="0.25">
      <c r="A39" s="5" t="s">
        <v>11</v>
      </c>
      <c r="B39" s="3" t="s">
        <v>14</v>
      </c>
      <c r="C39" s="6" t="s">
        <v>201</v>
      </c>
      <c r="D39" s="3" t="s">
        <v>636</v>
      </c>
      <c r="K39" s="25">
        <f t="shared" si="0"/>
        <v>9</v>
      </c>
    </row>
    <row r="40" spans="1:11" ht="15.75" x14ac:dyDescent="0.25">
      <c r="A40" s="5" t="s">
        <v>11</v>
      </c>
      <c r="B40" s="3" t="s">
        <v>758</v>
      </c>
      <c r="C40" s="6" t="s">
        <v>202</v>
      </c>
      <c r="D40" s="3" t="s">
        <v>490</v>
      </c>
      <c r="K40" s="25">
        <f t="shared" si="0"/>
        <v>6</v>
      </c>
    </row>
    <row r="41" spans="1:11" ht="15.75" x14ac:dyDescent="0.25">
      <c r="A41" s="5" t="s">
        <v>11</v>
      </c>
      <c r="B41" s="3" t="s">
        <v>759</v>
      </c>
      <c r="C41" s="6" t="s">
        <v>203</v>
      </c>
      <c r="D41" s="3" t="s">
        <v>55</v>
      </c>
      <c r="K41" s="25">
        <f t="shared" si="0"/>
        <v>1</v>
      </c>
    </row>
    <row r="42" spans="1:11" ht="15.75" x14ac:dyDescent="0.25">
      <c r="A42" s="5" t="s">
        <v>11</v>
      </c>
      <c r="B42" s="3" t="s">
        <v>760</v>
      </c>
      <c r="C42" s="6" t="s">
        <v>204</v>
      </c>
      <c r="D42" s="3" t="s">
        <v>77</v>
      </c>
      <c r="K42" s="25">
        <f t="shared" si="0"/>
        <v>4</v>
      </c>
    </row>
    <row r="43" spans="1:11" ht="15.75" x14ac:dyDescent="0.25">
      <c r="A43" s="5" t="s">
        <v>11</v>
      </c>
      <c r="B43" s="3" t="s">
        <v>764</v>
      </c>
      <c r="C43" s="6" t="s">
        <v>205</v>
      </c>
      <c r="D43" s="3" t="s">
        <v>78</v>
      </c>
      <c r="K43" s="25">
        <f t="shared" si="0"/>
        <v>2</v>
      </c>
    </row>
    <row r="44" spans="1:11" ht="15.75" x14ac:dyDescent="0.25">
      <c r="A44" s="5" t="s">
        <v>11</v>
      </c>
      <c r="B44" s="3" t="s">
        <v>761</v>
      </c>
      <c r="C44" s="6" t="s">
        <v>206</v>
      </c>
      <c r="D44" s="3" t="s">
        <v>120</v>
      </c>
      <c r="K44" s="25">
        <f t="shared" si="0"/>
        <v>4</v>
      </c>
    </row>
    <row r="45" spans="1:11" ht="15.75" x14ac:dyDescent="0.25">
      <c r="A45" s="5" t="s">
        <v>11</v>
      </c>
      <c r="B45" s="3" t="s">
        <v>763</v>
      </c>
      <c r="C45" s="6" t="s">
        <v>207</v>
      </c>
      <c r="D45" s="3" t="s">
        <v>33</v>
      </c>
      <c r="K45" s="25">
        <f t="shared" si="0"/>
        <v>1</v>
      </c>
    </row>
    <row r="46" spans="1:11" ht="15.75" x14ac:dyDescent="0.25">
      <c r="A46" s="5" t="s">
        <v>11</v>
      </c>
      <c r="B46" s="3" t="s">
        <v>762</v>
      </c>
      <c r="C46" s="6" t="s">
        <v>208</v>
      </c>
      <c r="D46" s="3" t="s">
        <v>79</v>
      </c>
      <c r="K46" s="25">
        <f t="shared" si="0"/>
        <v>3</v>
      </c>
    </row>
    <row r="47" spans="1:11" ht="15.75" x14ac:dyDescent="0.25">
      <c r="A47" s="5" t="s">
        <v>11</v>
      </c>
      <c r="B47" s="3" t="s">
        <v>210</v>
      </c>
      <c r="C47" s="6" t="s">
        <v>209</v>
      </c>
      <c r="D47" s="3" t="s">
        <v>599</v>
      </c>
      <c r="K47" s="25">
        <f t="shared" si="0"/>
        <v>5</v>
      </c>
    </row>
    <row r="48" spans="1:11" ht="15.75" x14ac:dyDescent="0.25">
      <c r="A48" s="5" t="s">
        <v>11</v>
      </c>
      <c r="B48" s="3" t="s">
        <v>765</v>
      </c>
      <c r="C48" s="6" t="s">
        <v>211</v>
      </c>
      <c r="D48" s="3" t="s">
        <v>724</v>
      </c>
      <c r="K48" s="25">
        <f t="shared" si="0"/>
        <v>5</v>
      </c>
    </row>
    <row r="49" spans="1:11" ht="15.75" x14ac:dyDescent="0.25">
      <c r="A49" s="5" t="s">
        <v>11</v>
      </c>
      <c r="B49" s="3" t="s">
        <v>766</v>
      </c>
      <c r="C49" s="6" t="s">
        <v>212</v>
      </c>
      <c r="D49" s="3" t="s">
        <v>96</v>
      </c>
      <c r="K49" s="25">
        <f t="shared" si="0"/>
        <v>6</v>
      </c>
    </row>
    <row r="50" spans="1:11" ht="15.75" x14ac:dyDescent="0.25">
      <c r="A50" s="5" t="s">
        <v>11</v>
      </c>
      <c r="B50" s="3" t="s">
        <v>767</v>
      </c>
      <c r="C50" s="6" t="s">
        <v>213</v>
      </c>
      <c r="D50" s="3" t="s">
        <v>489</v>
      </c>
      <c r="K50" s="25">
        <f t="shared" si="0"/>
        <v>8</v>
      </c>
    </row>
    <row r="51" spans="1:11" ht="15.75" x14ac:dyDescent="0.25">
      <c r="A51" s="5" t="s">
        <v>11</v>
      </c>
      <c r="B51" s="3" t="s">
        <v>231</v>
      </c>
      <c r="C51" s="6" t="s">
        <v>214</v>
      </c>
      <c r="D51" s="3" t="s">
        <v>768</v>
      </c>
      <c r="K51" s="25">
        <f t="shared" si="0"/>
        <v>3</v>
      </c>
    </row>
    <row r="52" spans="1:11" ht="15.75" x14ac:dyDescent="0.25">
      <c r="A52" s="5" t="s">
        <v>11</v>
      </c>
      <c r="B52" s="3" t="s">
        <v>769</v>
      </c>
      <c r="C52" s="6" t="s">
        <v>215</v>
      </c>
      <c r="D52" s="3" t="s">
        <v>91</v>
      </c>
      <c r="K52" s="25">
        <f t="shared" si="0"/>
        <v>5</v>
      </c>
    </row>
    <row r="53" spans="1:11" ht="15.75" x14ac:dyDescent="0.25">
      <c r="A53" s="5" t="s">
        <v>11</v>
      </c>
      <c r="B53" s="3" t="s">
        <v>770</v>
      </c>
      <c r="C53" s="6" t="s">
        <v>216</v>
      </c>
      <c r="D53" s="3" t="s">
        <v>151</v>
      </c>
      <c r="K53" s="25">
        <f t="shared" si="0"/>
        <v>13</v>
      </c>
    </row>
    <row r="54" spans="1:11" ht="15.75" x14ac:dyDescent="0.25">
      <c r="A54" s="5" t="s">
        <v>11</v>
      </c>
      <c r="B54" s="3" t="s">
        <v>771</v>
      </c>
      <c r="C54" s="6" t="s">
        <v>217</v>
      </c>
      <c r="D54" s="3" t="s">
        <v>141</v>
      </c>
      <c r="K54" s="25">
        <f t="shared" si="0"/>
        <v>7</v>
      </c>
    </row>
    <row r="55" spans="1:11" ht="15.75" x14ac:dyDescent="0.25">
      <c r="A55" s="5" t="s">
        <v>11</v>
      </c>
      <c r="B55" s="3" t="s">
        <v>772</v>
      </c>
      <c r="C55" s="6" t="s">
        <v>218</v>
      </c>
      <c r="D55" s="3" t="s">
        <v>646</v>
      </c>
      <c r="K55" s="25">
        <f t="shared" si="0"/>
        <v>2</v>
      </c>
    </row>
    <row r="56" spans="1:11" ht="15.75" x14ac:dyDescent="0.25">
      <c r="A56" s="5" t="s">
        <v>11</v>
      </c>
      <c r="B56" s="3" t="s">
        <v>773</v>
      </c>
      <c r="C56" s="6" t="s">
        <v>219</v>
      </c>
      <c r="D56" s="3" t="s">
        <v>87</v>
      </c>
      <c r="K56" s="25">
        <f t="shared" si="0"/>
        <v>5</v>
      </c>
    </row>
    <row r="57" spans="1:11" ht="15.75" x14ac:dyDescent="0.25">
      <c r="A57" s="5" t="s">
        <v>11</v>
      </c>
      <c r="B57" s="3" t="s">
        <v>774</v>
      </c>
      <c r="C57" s="6" t="s">
        <v>220</v>
      </c>
      <c r="D57" s="3" t="s">
        <v>36</v>
      </c>
      <c r="K57" s="25">
        <f t="shared" si="0"/>
        <v>1</v>
      </c>
    </row>
    <row r="58" spans="1:11" ht="15.75" x14ac:dyDescent="0.25">
      <c r="A58" s="5" t="s">
        <v>11</v>
      </c>
      <c r="B58" s="3" t="s">
        <v>775</v>
      </c>
      <c r="C58" s="6" t="s">
        <v>221</v>
      </c>
      <c r="D58" s="3" t="s">
        <v>99</v>
      </c>
      <c r="K58" s="25">
        <f t="shared" ref="K58:K120" si="1">LEN(D58)-LEN(SUBSTITUTE(D58,",",""))+1</f>
        <v>2</v>
      </c>
    </row>
    <row r="59" spans="1:11" ht="15.75" x14ac:dyDescent="0.25">
      <c r="A59" s="5" t="s">
        <v>11</v>
      </c>
      <c r="B59" s="3" t="s">
        <v>776</v>
      </c>
      <c r="C59" s="6" t="s">
        <v>222</v>
      </c>
      <c r="D59" s="3" t="s">
        <v>164</v>
      </c>
      <c r="K59" s="25">
        <f t="shared" si="1"/>
        <v>12</v>
      </c>
    </row>
    <row r="60" spans="1:11" ht="15.75" x14ac:dyDescent="0.25">
      <c r="A60" s="5" t="s">
        <v>11</v>
      </c>
      <c r="B60" s="3" t="s">
        <v>777</v>
      </c>
      <c r="C60" s="6" t="s">
        <v>223</v>
      </c>
      <c r="D60" s="3" t="s">
        <v>641</v>
      </c>
      <c r="K60" s="25">
        <f t="shared" si="1"/>
        <v>8</v>
      </c>
    </row>
    <row r="61" spans="1:11" ht="15.75" x14ac:dyDescent="0.25">
      <c r="A61" s="5" t="s">
        <v>11</v>
      </c>
      <c r="B61" s="3" t="s">
        <v>12</v>
      </c>
      <c r="C61" s="6" t="s">
        <v>224</v>
      </c>
      <c r="D61" s="3" t="s">
        <v>137</v>
      </c>
      <c r="K61" s="25">
        <f t="shared" si="1"/>
        <v>4</v>
      </c>
    </row>
    <row r="62" spans="1:11" ht="15.75" x14ac:dyDescent="0.25">
      <c r="A62" s="5" t="s">
        <v>11</v>
      </c>
      <c r="B62" s="3" t="s">
        <v>778</v>
      </c>
      <c r="C62" s="6" t="s">
        <v>225</v>
      </c>
      <c r="D62" s="3" t="s">
        <v>122</v>
      </c>
      <c r="K62" s="25">
        <f t="shared" si="1"/>
        <v>7</v>
      </c>
    </row>
    <row r="63" spans="1:11" ht="15.75" x14ac:dyDescent="0.25">
      <c r="A63" s="5" t="s">
        <v>11</v>
      </c>
      <c r="B63" s="3" t="s">
        <v>779</v>
      </c>
      <c r="C63" s="6" t="s">
        <v>226</v>
      </c>
      <c r="D63" s="3" t="s">
        <v>645</v>
      </c>
      <c r="K63" s="25">
        <f t="shared" si="1"/>
        <v>7</v>
      </c>
    </row>
    <row r="64" spans="1:11" ht="15.75" x14ac:dyDescent="0.25">
      <c r="A64" s="5" t="s">
        <v>11</v>
      </c>
      <c r="B64" s="3" t="s">
        <v>780</v>
      </c>
      <c r="C64" s="6" t="s">
        <v>227</v>
      </c>
      <c r="D64" s="3" t="s">
        <v>142</v>
      </c>
      <c r="K64" s="25">
        <f t="shared" si="1"/>
        <v>8</v>
      </c>
    </row>
    <row r="65" spans="1:11" ht="15.75" x14ac:dyDescent="0.25">
      <c r="A65" s="5" t="s">
        <v>11</v>
      </c>
      <c r="B65" s="3" t="s">
        <v>781</v>
      </c>
      <c r="C65" s="6" t="s">
        <v>228</v>
      </c>
      <c r="D65" s="3" t="s">
        <v>47</v>
      </c>
      <c r="K65" s="25">
        <f t="shared" si="1"/>
        <v>4</v>
      </c>
    </row>
    <row r="66" spans="1:11" ht="15.75" x14ac:dyDescent="0.25">
      <c r="A66" s="5" t="s">
        <v>11</v>
      </c>
      <c r="B66" s="3" t="s">
        <v>230</v>
      </c>
      <c r="C66" s="6" t="s">
        <v>229</v>
      </c>
      <c r="D66" s="3" t="s">
        <v>637</v>
      </c>
      <c r="K66" s="25">
        <f t="shared" si="1"/>
        <v>21</v>
      </c>
    </row>
    <row r="67" spans="1:11" ht="15.75" x14ac:dyDescent="0.25">
      <c r="A67" s="5" t="s">
        <v>11</v>
      </c>
      <c r="B67" s="3" t="s">
        <v>782</v>
      </c>
      <c r="C67" s="6" t="s">
        <v>232</v>
      </c>
      <c r="D67" s="3" t="s">
        <v>638</v>
      </c>
      <c r="K67" s="25">
        <f t="shared" si="1"/>
        <v>7</v>
      </c>
    </row>
    <row r="68" spans="1:11" ht="15.75" x14ac:dyDescent="0.25">
      <c r="A68" s="5" t="s">
        <v>11</v>
      </c>
      <c r="B68" s="3" t="s">
        <v>783</v>
      </c>
      <c r="C68" s="6" t="s">
        <v>233</v>
      </c>
      <c r="D68" s="3" t="s">
        <v>80</v>
      </c>
      <c r="K68" s="25">
        <f t="shared" si="1"/>
        <v>3</v>
      </c>
    </row>
    <row r="69" spans="1:11" ht="15.75" x14ac:dyDescent="0.25">
      <c r="A69" s="5" t="s">
        <v>11</v>
      </c>
      <c r="B69" s="3" t="s">
        <v>784</v>
      </c>
      <c r="C69" s="6" t="s">
        <v>234</v>
      </c>
      <c r="D69" s="3" t="s">
        <v>650</v>
      </c>
      <c r="K69" s="25">
        <f t="shared" si="1"/>
        <v>22</v>
      </c>
    </row>
    <row r="70" spans="1:11" ht="15.75" x14ac:dyDescent="0.25">
      <c r="A70" s="5" t="s">
        <v>11</v>
      </c>
      <c r="B70" s="3" t="s">
        <v>785</v>
      </c>
      <c r="C70" s="6" t="s">
        <v>235</v>
      </c>
      <c r="D70" s="3" t="s">
        <v>265</v>
      </c>
      <c r="K70" s="25">
        <f t="shared" si="1"/>
        <v>10</v>
      </c>
    </row>
    <row r="71" spans="1:11" ht="15.75" x14ac:dyDescent="0.25">
      <c r="A71" s="5" t="s">
        <v>11</v>
      </c>
      <c r="B71" s="3" t="s">
        <v>608</v>
      </c>
      <c r="C71" s="6" t="s">
        <v>607</v>
      </c>
      <c r="D71" s="20">
        <v>45936</v>
      </c>
      <c r="K71" s="25">
        <f t="shared" si="1"/>
        <v>1</v>
      </c>
    </row>
    <row r="72" spans="1:11" ht="15.75" x14ac:dyDescent="0.25">
      <c r="A72" s="5" t="s">
        <v>11</v>
      </c>
      <c r="B72" s="3" t="s">
        <v>15</v>
      </c>
      <c r="C72" s="6" t="s">
        <v>237</v>
      </c>
      <c r="D72" s="3" t="s">
        <v>81</v>
      </c>
      <c r="K72" s="25">
        <f t="shared" si="1"/>
        <v>2</v>
      </c>
    </row>
    <row r="73" spans="1:11" ht="15.75" x14ac:dyDescent="0.25">
      <c r="A73" s="5" t="s">
        <v>11</v>
      </c>
      <c r="B73" s="3" t="s">
        <v>786</v>
      </c>
      <c r="C73" s="6" t="s">
        <v>238</v>
      </c>
      <c r="D73" s="15" t="s">
        <v>18</v>
      </c>
      <c r="K73" s="25">
        <f t="shared" si="1"/>
        <v>1</v>
      </c>
    </row>
    <row r="74" spans="1:11" ht="15.75" x14ac:dyDescent="0.25">
      <c r="A74" s="5" t="s">
        <v>11</v>
      </c>
      <c r="B74" s="3" t="s">
        <v>787</v>
      </c>
      <c r="C74" s="6" t="s">
        <v>239</v>
      </c>
      <c r="D74" s="3" t="s">
        <v>723</v>
      </c>
      <c r="K74" s="25">
        <f t="shared" si="1"/>
        <v>5</v>
      </c>
    </row>
    <row r="75" spans="1:11" ht="15.75" x14ac:dyDescent="0.25">
      <c r="A75" s="5" t="s">
        <v>11</v>
      </c>
      <c r="B75" s="3" t="s">
        <v>788</v>
      </c>
      <c r="C75" s="6" t="s">
        <v>240</v>
      </c>
      <c r="D75" s="3" t="s">
        <v>51</v>
      </c>
      <c r="K75" s="25">
        <f t="shared" si="1"/>
        <v>3</v>
      </c>
    </row>
    <row r="76" spans="1:11" ht="15.75" x14ac:dyDescent="0.25">
      <c r="A76" s="5" t="s">
        <v>11</v>
      </c>
      <c r="B76" s="3" t="s">
        <v>789</v>
      </c>
      <c r="C76" s="6" t="s">
        <v>241</v>
      </c>
      <c r="D76" s="3" t="s">
        <v>488</v>
      </c>
      <c r="K76" s="25">
        <f t="shared" si="1"/>
        <v>5</v>
      </c>
    </row>
    <row r="77" spans="1:11" ht="15.75" x14ac:dyDescent="0.25">
      <c r="A77" s="5" t="s">
        <v>11</v>
      </c>
      <c r="B77" s="3" t="s">
        <v>790</v>
      </c>
      <c r="C77" s="6" t="s">
        <v>427</v>
      </c>
      <c r="D77" s="3" t="s">
        <v>728</v>
      </c>
      <c r="K77" s="25">
        <f t="shared" si="1"/>
        <v>11</v>
      </c>
    </row>
    <row r="78" spans="1:11" ht="15.75" x14ac:dyDescent="0.25">
      <c r="A78" s="5" t="s">
        <v>11</v>
      </c>
      <c r="B78" s="3" t="s">
        <v>791</v>
      </c>
      <c r="C78" s="6" t="s">
        <v>242</v>
      </c>
      <c r="D78" s="3" t="s">
        <v>642</v>
      </c>
      <c r="K78" s="25">
        <f t="shared" si="1"/>
        <v>14</v>
      </c>
    </row>
    <row r="79" spans="1:11" ht="15.75" x14ac:dyDescent="0.25">
      <c r="A79" s="5" t="s">
        <v>11</v>
      </c>
      <c r="B79" s="3" t="s">
        <v>792</v>
      </c>
      <c r="C79" s="6" t="s">
        <v>243</v>
      </c>
      <c r="D79" s="3" t="s">
        <v>649</v>
      </c>
      <c r="K79" s="25">
        <f t="shared" si="1"/>
        <v>13</v>
      </c>
    </row>
    <row r="80" spans="1:11" ht="15.75" x14ac:dyDescent="0.25">
      <c r="A80" s="5" t="s">
        <v>11</v>
      </c>
      <c r="B80" s="3" t="s">
        <v>793</v>
      </c>
      <c r="C80" s="6" t="s">
        <v>244</v>
      </c>
      <c r="D80" s="3" t="s">
        <v>110</v>
      </c>
      <c r="K80" s="25">
        <f t="shared" si="1"/>
        <v>3</v>
      </c>
    </row>
    <row r="81" spans="1:11" ht="15.75" x14ac:dyDescent="0.25">
      <c r="A81" s="5" t="s">
        <v>11</v>
      </c>
      <c r="B81" s="3" t="s">
        <v>794</v>
      </c>
      <c r="C81" s="6" t="s">
        <v>245</v>
      </c>
      <c r="D81" s="3" t="s">
        <v>46</v>
      </c>
      <c r="K81" s="25">
        <f t="shared" si="1"/>
        <v>1</v>
      </c>
    </row>
    <row r="82" spans="1:11" ht="15.75" x14ac:dyDescent="0.25">
      <c r="A82" s="5" t="s">
        <v>11</v>
      </c>
      <c r="B82" s="3" t="s">
        <v>795</v>
      </c>
      <c r="C82" s="6" t="s">
        <v>246</v>
      </c>
      <c r="D82" s="3" t="s">
        <v>20</v>
      </c>
      <c r="K82" s="25">
        <f t="shared" si="1"/>
        <v>1</v>
      </c>
    </row>
    <row r="83" spans="1:11" ht="15.75" x14ac:dyDescent="0.25">
      <c r="A83" s="5" t="s">
        <v>11</v>
      </c>
      <c r="B83" s="3" t="s">
        <v>1038</v>
      </c>
      <c r="C83" s="6" t="s">
        <v>197</v>
      </c>
      <c r="D83" s="3" t="s">
        <v>446</v>
      </c>
      <c r="K83" s="25">
        <f t="shared" si="1"/>
        <v>6</v>
      </c>
    </row>
    <row r="84" spans="1:11" ht="15.75" x14ac:dyDescent="0.25">
      <c r="A84" s="5" t="s">
        <v>11</v>
      </c>
      <c r="B84" s="3" t="s">
        <v>1039</v>
      </c>
      <c r="C84" s="6" t="s">
        <v>247</v>
      </c>
      <c r="D84" s="3" t="s">
        <v>610</v>
      </c>
      <c r="K84" s="25">
        <f t="shared" si="1"/>
        <v>3</v>
      </c>
    </row>
    <row r="85" spans="1:11" ht="15.75" x14ac:dyDescent="0.25">
      <c r="A85" s="5" t="s">
        <v>11</v>
      </c>
      <c r="B85" s="3" t="s">
        <v>796</v>
      </c>
      <c r="C85" s="6" t="s">
        <v>248</v>
      </c>
      <c r="D85" s="3" t="s">
        <v>88</v>
      </c>
      <c r="K85" s="25">
        <f t="shared" si="1"/>
        <v>5</v>
      </c>
    </row>
    <row r="86" spans="1:11" ht="15.75" x14ac:dyDescent="0.25">
      <c r="A86" s="5" t="s">
        <v>11</v>
      </c>
      <c r="B86" s="3" t="s">
        <v>797</v>
      </c>
      <c r="C86" s="6" t="s">
        <v>249</v>
      </c>
      <c r="D86" s="3" t="s">
        <v>48</v>
      </c>
      <c r="K86" s="25">
        <f t="shared" si="1"/>
        <v>1</v>
      </c>
    </row>
    <row r="87" spans="1:11" ht="15.75" x14ac:dyDescent="0.25">
      <c r="A87" s="5" t="s">
        <v>11</v>
      </c>
      <c r="B87" s="3" t="s">
        <v>798</v>
      </c>
      <c r="C87" s="6" t="s">
        <v>250</v>
      </c>
      <c r="D87" s="3" t="s">
        <v>86</v>
      </c>
      <c r="K87" s="25">
        <f t="shared" si="1"/>
        <v>3</v>
      </c>
    </row>
    <row r="88" spans="1:11" ht="15.75" x14ac:dyDescent="0.25">
      <c r="A88" s="5" t="s">
        <v>11</v>
      </c>
      <c r="B88" s="3" t="s">
        <v>799</v>
      </c>
      <c r="C88" s="6" t="s">
        <v>251</v>
      </c>
      <c r="D88" s="3" t="s">
        <v>24</v>
      </c>
      <c r="K88" s="25">
        <f t="shared" si="1"/>
        <v>2</v>
      </c>
    </row>
    <row r="89" spans="1:11" ht="15.75" x14ac:dyDescent="0.25">
      <c r="A89" s="5" t="s">
        <v>11</v>
      </c>
      <c r="B89" s="3" t="s">
        <v>800</v>
      </c>
      <c r="C89" s="6" t="s">
        <v>252</v>
      </c>
      <c r="D89" s="3" t="s">
        <v>648</v>
      </c>
      <c r="K89" s="25">
        <f t="shared" si="1"/>
        <v>19</v>
      </c>
    </row>
    <row r="90" spans="1:11" ht="15.75" x14ac:dyDescent="0.25">
      <c r="A90" s="5" t="s">
        <v>11</v>
      </c>
      <c r="B90" s="3" t="s">
        <v>801</v>
      </c>
      <c r="C90" s="6" t="s">
        <v>253</v>
      </c>
      <c r="D90" s="3" t="s">
        <v>165</v>
      </c>
      <c r="K90" s="25">
        <f t="shared" si="1"/>
        <v>5</v>
      </c>
    </row>
    <row r="91" spans="1:11" ht="15.75" x14ac:dyDescent="0.25">
      <c r="A91" s="5" t="s">
        <v>11</v>
      </c>
      <c r="B91" s="3" t="s">
        <v>802</v>
      </c>
      <c r="C91" s="6" t="s">
        <v>254</v>
      </c>
      <c r="D91" s="3" t="s">
        <v>604</v>
      </c>
      <c r="K91" s="25">
        <f t="shared" si="1"/>
        <v>4</v>
      </c>
    </row>
    <row r="92" spans="1:11" ht="15.75" x14ac:dyDescent="0.25">
      <c r="A92" s="5" t="s">
        <v>11</v>
      </c>
      <c r="B92" s="3" t="s">
        <v>29</v>
      </c>
      <c r="C92" s="6" t="s">
        <v>256</v>
      </c>
      <c r="D92" s="3" t="s">
        <v>255</v>
      </c>
      <c r="K92" s="25">
        <f t="shared" si="1"/>
        <v>1</v>
      </c>
    </row>
    <row r="93" spans="1:11" ht="15.75" x14ac:dyDescent="0.25">
      <c r="A93" s="5" t="s">
        <v>11</v>
      </c>
      <c r="B93" s="3" t="s">
        <v>803</v>
      </c>
      <c r="C93" s="6" t="s">
        <v>257</v>
      </c>
      <c r="D93" s="3" t="s">
        <v>108</v>
      </c>
      <c r="K93" s="25">
        <f t="shared" si="1"/>
        <v>14</v>
      </c>
    </row>
    <row r="94" spans="1:11" ht="15.75" x14ac:dyDescent="0.25">
      <c r="A94" s="5" t="s">
        <v>11</v>
      </c>
      <c r="B94" s="3" t="s">
        <v>100</v>
      </c>
      <c r="C94" s="6" t="s">
        <v>426</v>
      </c>
      <c r="D94" s="3" t="s">
        <v>111</v>
      </c>
      <c r="K94" s="25">
        <f t="shared" si="1"/>
        <v>2</v>
      </c>
    </row>
    <row r="95" spans="1:11" ht="15.75" x14ac:dyDescent="0.25">
      <c r="A95" s="5" t="s">
        <v>11</v>
      </c>
      <c r="B95" s="3" t="s">
        <v>13</v>
      </c>
      <c r="C95" s="6" t="s">
        <v>258</v>
      </c>
      <c r="D95" s="3" t="s">
        <v>639</v>
      </c>
      <c r="K95" s="25">
        <f t="shared" si="1"/>
        <v>6</v>
      </c>
    </row>
    <row r="96" spans="1:11" ht="15.75" x14ac:dyDescent="0.25">
      <c r="A96" s="5" t="s">
        <v>11</v>
      </c>
      <c r="B96" s="3" t="s">
        <v>804</v>
      </c>
      <c r="C96" s="6" t="s">
        <v>259</v>
      </c>
      <c r="D96" s="3" t="s">
        <v>22</v>
      </c>
      <c r="K96" s="25">
        <f t="shared" si="1"/>
        <v>1</v>
      </c>
    </row>
    <row r="97" spans="1:11" ht="15.75" x14ac:dyDescent="0.25">
      <c r="A97" s="5" t="s">
        <v>11</v>
      </c>
      <c r="B97" s="3" t="s">
        <v>805</v>
      </c>
      <c r="C97" s="6" t="s">
        <v>261</v>
      </c>
      <c r="D97" s="3" t="s">
        <v>121</v>
      </c>
      <c r="K97" s="25">
        <f t="shared" si="1"/>
        <v>1</v>
      </c>
    </row>
    <row r="98" spans="1:11" ht="15.75" x14ac:dyDescent="0.25">
      <c r="A98" s="5" t="s">
        <v>11</v>
      </c>
      <c r="B98" s="3" t="s">
        <v>806</v>
      </c>
      <c r="C98" s="6" t="s">
        <v>262</v>
      </c>
      <c r="D98" s="3" t="s">
        <v>609</v>
      </c>
      <c r="K98" s="25">
        <f t="shared" si="1"/>
        <v>3</v>
      </c>
    </row>
    <row r="99" spans="1:11" ht="15.75" x14ac:dyDescent="0.25">
      <c r="A99" s="5" t="s">
        <v>11</v>
      </c>
      <c r="B99" s="3" t="s">
        <v>1037</v>
      </c>
      <c r="C99" s="6" t="s">
        <v>260</v>
      </c>
      <c r="D99" s="3" t="s">
        <v>644</v>
      </c>
      <c r="K99" s="25">
        <f t="shared" si="1"/>
        <v>5</v>
      </c>
    </row>
    <row r="100" spans="1:11" ht="15.75" x14ac:dyDescent="0.25">
      <c r="A100" s="5" t="s">
        <v>11</v>
      </c>
      <c r="B100" s="3" t="s">
        <v>807</v>
      </c>
      <c r="C100" s="6" t="s">
        <v>263</v>
      </c>
      <c r="D100" s="3" t="s">
        <v>56</v>
      </c>
      <c r="K100" s="25">
        <f t="shared" si="1"/>
        <v>3</v>
      </c>
    </row>
    <row r="101" spans="1:11" ht="15.75" x14ac:dyDescent="0.25">
      <c r="A101" s="5" t="s">
        <v>11</v>
      </c>
      <c r="B101" s="3" t="s">
        <v>808</v>
      </c>
      <c r="C101" s="6" t="s">
        <v>264</v>
      </c>
      <c r="D101" s="3" t="s">
        <v>109</v>
      </c>
      <c r="K101" s="25">
        <f t="shared" si="1"/>
        <v>8</v>
      </c>
    </row>
    <row r="102" spans="1:11" ht="15.75" x14ac:dyDescent="0.25">
      <c r="A102" s="5" t="s">
        <v>11</v>
      </c>
      <c r="B102" s="3" t="s">
        <v>605</v>
      </c>
      <c r="C102" s="6" t="s">
        <v>606</v>
      </c>
      <c r="D102" s="20">
        <v>45936</v>
      </c>
      <c r="K102" s="25">
        <f t="shared" si="1"/>
        <v>1</v>
      </c>
    </row>
    <row r="103" spans="1:11" ht="15.75" x14ac:dyDescent="0.25">
      <c r="A103" s="5" t="s">
        <v>11</v>
      </c>
      <c r="B103" s="3" t="s">
        <v>809</v>
      </c>
      <c r="C103" s="6" t="s">
        <v>267</v>
      </c>
      <c r="D103" s="3" t="s">
        <v>72</v>
      </c>
      <c r="K103" s="25">
        <f t="shared" si="1"/>
        <v>2</v>
      </c>
    </row>
    <row r="104" spans="1:11" ht="15.75" x14ac:dyDescent="0.25">
      <c r="A104" s="5" t="s">
        <v>11</v>
      </c>
      <c r="B104" s="3" t="s">
        <v>1036</v>
      </c>
      <c r="C104" s="6" t="s">
        <v>266</v>
      </c>
      <c r="D104" s="3" t="s">
        <v>67</v>
      </c>
      <c r="K104" s="25">
        <f t="shared" si="1"/>
        <v>3</v>
      </c>
    </row>
    <row r="105" spans="1:11" ht="15.75" x14ac:dyDescent="0.25">
      <c r="A105" s="5" t="s">
        <v>19</v>
      </c>
      <c r="B105" s="3" t="s">
        <v>810</v>
      </c>
      <c r="C105" s="6" t="s">
        <v>416</v>
      </c>
      <c r="D105" s="3" t="s">
        <v>18</v>
      </c>
      <c r="K105" s="25">
        <f t="shared" si="1"/>
        <v>1</v>
      </c>
    </row>
    <row r="106" spans="1:11" ht="15.75" x14ac:dyDescent="0.25">
      <c r="A106" s="5" t="s">
        <v>19</v>
      </c>
      <c r="B106" s="3" t="s">
        <v>811</v>
      </c>
      <c r="C106" s="6" t="s">
        <v>269</v>
      </c>
      <c r="D106" s="3" t="s">
        <v>38</v>
      </c>
      <c r="K106" s="25">
        <f t="shared" si="1"/>
        <v>1</v>
      </c>
    </row>
    <row r="107" spans="1:11" ht="15.75" x14ac:dyDescent="0.25">
      <c r="A107" s="5" t="s">
        <v>19</v>
      </c>
      <c r="B107" s="3" t="s">
        <v>1035</v>
      </c>
      <c r="C107" s="6" t="s">
        <v>510</v>
      </c>
      <c r="D107" s="3" t="s">
        <v>694</v>
      </c>
      <c r="K107" s="25">
        <f t="shared" si="1"/>
        <v>2</v>
      </c>
    </row>
    <row r="108" spans="1:11" ht="15.75" x14ac:dyDescent="0.25">
      <c r="A108" s="5" t="s">
        <v>19</v>
      </c>
      <c r="B108" s="3" t="s">
        <v>812</v>
      </c>
      <c r="C108" s="6" t="s">
        <v>428</v>
      </c>
      <c r="D108" s="3" t="s">
        <v>61</v>
      </c>
      <c r="K108" s="25">
        <f t="shared" si="1"/>
        <v>2</v>
      </c>
    </row>
    <row r="109" spans="1:11" ht="15.75" x14ac:dyDescent="0.25">
      <c r="A109" s="5" t="s">
        <v>19</v>
      </c>
      <c r="B109" s="3" t="s">
        <v>813</v>
      </c>
      <c r="C109" s="6" t="s">
        <v>40</v>
      </c>
      <c r="D109" s="3" t="s">
        <v>38</v>
      </c>
      <c r="K109" s="25">
        <f t="shared" si="1"/>
        <v>1</v>
      </c>
    </row>
    <row r="110" spans="1:11" ht="15.75" x14ac:dyDescent="0.25">
      <c r="A110" s="5" t="s">
        <v>19</v>
      </c>
      <c r="B110" s="3" t="s">
        <v>1041</v>
      </c>
      <c r="C110" s="6" t="s">
        <v>506</v>
      </c>
      <c r="D110" s="3" t="s">
        <v>616</v>
      </c>
      <c r="K110" s="25">
        <f t="shared" si="1"/>
        <v>2</v>
      </c>
    </row>
    <row r="111" spans="1:11" ht="15.75" x14ac:dyDescent="0.25">
      <c r="A111" s="5" t="s">
        <v>19</v>
      </c>
      <c r="B111" s="3" t="s">
        <v>349</v>
      </c>
      <c r="C111" s="6" t="s">
        <v>338</v>
      </c>
      <c r="D111" s="3" t="s">
        <v>38</v>
      </c>
      <c r="K111" s="25">
        <f t="shared" si="1"/>
        <v>1</v>
      </c>
    </row>
    <row r="112" spans="1:11" ht="15.75" x14ac:dyDescent="0.25">
      <c r="A112" s="5" t="s">
        <v>19</v>
      </c>
      <c r="B112" s="3" t="s">
        <v>814</v>
      </c>
      <c r="C112" s="6" t="s">
        <v>270</v>
      </c>
      <c r="D112" s="3" t="s">
        <v>685</v>
      </c>
      <c r="K112" s="25">
        <f t="shared" si="1"/>
        <v>3</v>
      </c>
    </row>
    <row r="113" spans="1:11" ht="15.75" x14ac:dyDescent="0.25">
      <c r="A113" s="5" t="s">
        <v>19</v>
      </c>
      <c r="B113" s="3" t="s">
        <v>815</v>
      </c>
      <c r="C113" s="6" t="s">
        <v>271</v>
      </c>
      <c r="D113" s="3" t="s">
        <v>658</v>
      </c>
      <c r="K113" s="25">
        <f t="shared" si="1"/>
        <v>2</v>
      </c>
    </row>
    <row r="114" spans="1:11" ht="15.75" x14ac:dyDescent="0.25">
      <c r="A114" s="5" t="s">
        <v>19</v>
      </c>
      <c r="B114" s="3" t="s">
        <v>816</v>
      </c>
      <c r="C114" s="6" t="s">
        <v>272</v>
      </c>
      <c r="D114" s="3" t="s">
        <v>705</v>
      </c>
      <c r="K114" s="25">
        <f t="shared" si="1"/>
        <v>2</v>
      </c>
    </row>
    <row r="115" spans="1:11" ht="15.75" x14ac:dyDescent="0.25">
      <c r="A115" s="5" t="s">
        <v>19</v>
      </c>
      <c r="B115" s="3" t="s">
        <v>651</v>
      </c>
      <c r="C115" s="6" t="s">
        <v>333</v>
      </c>
      <c r="D115" s="20">
        <v>45907</v>
      </c>
      <c r="K115" s="25">
        <f t="shared" si="1"/>
        <v>1</v>
      </c>
    </row>
    <row r="116" spans="1:11" ht="15.75" x14ac:dyDescent="0.25">
      <c r="A116" s="5" t="s">
        <v>19</v>
      </c>
      <c r="B116" s="3" t="s">
        <v>817</v>
      </c>
      <c r="C116" s="6" t="s">
        <v>273</v>
      </c>
      <c r="D116" s="3" t="s">
        <v>33</v>
      </c>
      <c r="K116" s="25">
        <f t="shared" si="1"/>
        <v>1</v>
      </c>
    </row>
    <row r="117" spans="1:11" ht="15.75" x14ac:dyDescent="0.25">
      <c r="A117" s="5" t="s">
        <v>19</v>
      </c>
      <c r="B117" s="3" t="s">
        <v>818</v>
      </c>
      <c r="C117" s="6" t="s">
        <v>275</v>
      </c>
      <c r="D117" s="3" t="s">
        <v>38</v>
      </c>
      <c r="K117" s="25">
        <f t="shared" si="1"/>
        <v>1</v>
      </c>
    </row>
    <row r="118" spans="1:11" ht="15.75" x14ac:dyDescent="0.25">
      <c r="A118" s="5" t="s">
        <v>19</v>
      </c>
      <c r="B118" s="3" t="s">
        <v>819</v>
      </c>
      <c r="C118" s="6" t="s">
        <v>276</v>
      </c>
      <c r="D118" s="3" t="s">
        <v>43</v>
      </c>
      <c r="K118" s="25">
        <f t="shared" si="1"/>
        <v>2</v>
      </c>
    </row>
    <row r="119" spans="1:11" ht="15.75" x14ac:dyDescent="0.25">
      <c r="A119" s="5" t="s">
        <v>19</v>
      </c>
      <c r="B119" s="3" t="s">
        <v>274</v>
      </c>
      <c r="C119" s="6" t="s">
        <v>429</v>
      </c>
      <c r="D119" s="3" t="s">
        <v>61</v>
      </c>
      <c r="K119" s="25">
        <f t="shared" si="1"/>
        <v>2</v>
      </c>
    </row>
    <row r="120" spans="1:11" ht="15.75" x14ac:dyDescent="0.25">
      <c r="A120" s="5" t="s">
        <v>19</v>
      </c>
      <c r="B120" s="3" t="s">
        <v>820</v>
      </c>
      <c r="C120" s="6" t="s">
        <v>430</v>
      </c>
      <c r="D120" s="3" t="s">
        <v>50</v>
      </c>
      <c r="K120" s="25">
        <f t="shared" si="1"/>
        <v>1</v>
      </c>
    </row>
    <row r="121" spans="1:11" ht="15.75" x14ac:dyDescent="0.25">
      <c r="A121" s="5" t="s">
        <v>19</v>
      </c>
      <c r="B121" s="3" t="s">
        <v>821</v>
      </c>
      <c r="C121" s="6" t="s">
        <v>41</v>
      </c>
      <c r="D121" s="3" t="s">
        <v>28</v>
      </c>
      <c r="K121" s="25">
        <f t="shared" ref="K121:K185" si="2">LEN(D121)-LEN(SUBSTITUTE(D121,",",""))+1</f>
        <v>2</v>
      </c>
    </row>
    <row r="122" spans="1:11" ht="15.75" x14ac:dyDescent="0.25">
      <c r="A122" s="5" t="s">
        <v>19</v>
      </c>
      <c r="B122" s="3" t="s">
        <v>983</v>
      </c>
      <c r="C122" s="6" t="s">
        <v>277</v>
      </c>
      <c r="D122" s="3" t="s">
        <v>695</v>
      </c>
      <c r="K122" s="25">
        <f t="shared" si="2"/>
        <v>6</v>
      </c>
    </row>
    <row r="123" spans="1:11" ht="15.75" x14ac:dyDescent="0.25">
      <c r="A123" s="5" t="s">
        <v>19</v>
      </c>
      <c r="B123" s="3" t="s">
        <v>1034</v>
      </c>
      <c r="C123" s="18" t="s">
        <v>567</v>
      </c>
      <c r="D123" s="3" t="s">
        <v>655</v>
      </c>
      <c r="K123" s="25">
        <f t="shared" si="2"/>
        <v>2</v>
      </c>
    </row>
    <row r="124" spans="1:11" ht="15.75" x14ac:dyDescent="0.25">
      <c r="A124" s="5" t="s">
        <v>19</v>
      </c>
      <c r="B124" s="3" t="s">
        <v>711</v>
      </c>
      <c r="C124" s="18" t="s">
        <v>712</v>
      </c>
      <c r="D124" s="20">
        <v>45907</v>
      </c>
      <c r="K124" s="25">
        <f t="shared" si="2"/>
        <v>1</v>
      </c>
    </row>
    <row r="125" spans="1:11" ht="15.75" x14ac:dyDescent="0.25">
      <c r="A125" s="5" t="s">
        <v>19</v>
      </c>
      <c r="B125" s="3" t="s">
        <v>822</v>
      </c>
      <c r="C125" s="6" t="s">
        <v>278</v>
      </c>
      <c r="D125" s="3" t="s">
        <v>579</v>
      </c>
      <c r="K125" s="25">
        <f t="shared" si="2"/>
        <v>2</v>
      </c>
    </row>
    <row r="126" spans="1:11" ht="15.75" x14ac:dyDescent="0.25">
      <c r="A126" s="5" t="s">
        <v>19</v>
      </c>
      <c r="B126" s="3" t="s">
        <v>573</v>
      </c>
      <c r="C126" s="19" t="s">
        <v>574</v>
      </c>
      <c r="D126" s="3" t="s">
        <v>562</v>
      </c>
      <c r="K126" s="25">
        <f t="shared" si="2"/>
        <v>1</v>
      </c>
    </row>
    <row r="127" spans="1:11" ht="15.75" x14ac:dyDescent="0.25">
      <c r="A127" s="5" t="s">
        <v>19</v>
      </c>
      <c r="B127" s="3" t="s">
        <v>823</v>
      </c>
      <c r="C127" s="6" t="s">
        <v>279</v>
      </c>
      <c r="D127" s="3" t="s">
        <v>662</v>
      </c>
      <c r="K127" s="25">
        <f t="shared" si="2"/>
        <v>8</v>
      </c>
    </row>
    <row r="128" spans="1:11" ht="15.75" x14ac:dyDescent="0.25">
      <c r="A128" s="5" t="s">
        <v>19</v>
      </c>
      <c r="B128" s="3" t="s">
        <v>824</v>
      </c>
      <c r="C128" s="6" t="s">
        <v>280</v>
      </c>
      <c r="D128" s="3" t="s">
        <v>71</v>
      </c>
      <c r="K128" s="25">
        <f t="shared" si="2"/>
        <v>5</v>
      </c>
    </row>
    <row r="129" spans="1:11" ht="15.75" x14ac:dyDescent="0.25">
      <c r="A129" s="5" t="s">
        <v>19</v>
      </c>
      <c r="B129" s="3" t="s">
        <v>825</v>
      </c>
      <c r="C129" s="6" t="s">
        <v>158</v>
      </c>
      <c r="D129" s="3" t="s">
        <v>698</v>
      </c>
      <c r="K129" s="25">
        <f t="shared" si="2"/>
        <v>6</v>
      </c>
    </row>
    <row r="130" spans="1:11" ht="15.75" x14ac:dyDescent="0.25">
      <c r="A130" s="5" t="s">
        <v>19</v>
      </c>
      <c r="B130" s="3" t="s">
        <v>1042</v>
      </c>
      <c r="C130" s="18" t="s">
        <v>590</v>
      </c>
      <c r="D130" s="3" t="s">
        <v>655</v>
      </c>
      <c r="K130" s="25">
        <f t="shared" si="2"/>
        <v>2</v>
      </c>
    </row>
    <row r="131" spans="1:11" ht="15.75" x14ac:dyDescent="0.25">
      <c r="A131" s="5" t="s">
        <v>19</v>
      </c>
      <c r="B131" s="3" t="s">
        <v>1043</v>
      </c>
      <c r="C131" s="6" t="s">
        <v>161</v>
      </c>
      <c r="D131" s="3" t="s">
        <v>162</v>
      </c>
      <c r="K131" s="25">
        <f t="shared" si="2"/>
        <v>1</v>
      </c>
    </row>
    <row r="132" spans="1:11" ht="15.75" x14ac:dyDescent="0.25">
      <c r="A132" s="5" t="s">
        <v>19</v>
      </c>
      <c r="B132" s="3" t="s">
        <v>826</v>
      </c>
      <c r="C132" s="6" t="s">
        <v>281</v>
      </c>
      <c r="D132" s="3" t="s">
        <v>667</v>
      </c>
      <c r="K132" s="25">
        <f t="shared" si="2"/>
        <v>3</v>
      </c>
    </row>
    <row r="133" spans="1:11" ht="15.75" x14ac:dyDescent="0.25">
      <c r="A133" s="5" t="s">
        <v>19</v>
      </c>
      <c r="B133" s="3" t="s">
        <v>827</v>
      </c>
      <c r="C133" s="6" t="s">
        <v>282</v>
      </c>
      <c r="D133" s="3" t="s">
        <v>97</v>
      </c>
      <c r="K133" s="25">
        <f t="shared" si="2"/>
        <v>2</v>
      </c>
    </row>
    <row r="134" spans="1:11" ht="15.75" x14ac:dyDescent="0.25">
      <c r="A134" s="5" t="s">
        <v>19</v>
      </c>
      <c r="B134" s="3" t="s">
        <v>828</v>
      </c>
      <c r="C134" s="6" t="s">
        <v>283</v>
      </c>
      <c r="D134" s="3" t="s">
        <v>666</v>
      </c>
      <c r="K134" s="25">
        <f t="shared" si="2"/>
        <v>3</v>
      </c>
    </row>
    <row r="135" spans="1:11" ht="15.75" x14ac:dyDescent="0.25">
      <c r="A135" s="5" t="s">
        <v>19</v>
      </c>
      <c r="B135" s="3" t="s">
        <v>829</v>
      </c>
      <c r="C135" s="6" t="s">
        <v>284</v>
      </c>
      <c r="D135" s="3" t="s">
        <v>89</v>
      </c>
      <c r="K135" s="25">
        <f t="shared" si="2"/>
        <v>1</v>
      </c>
    </row>
    <row r="136" spans="1:11" ht="15.75" x14ac:dyDescent="0.25">
      <c r="A136" s="5" t="s">
        <v>19</v>
      </c>
      <c r="B136" s="3" t="s">
        <v>664</v>
      </c>
      <c r="C136" s="6" t="s">
        <v>285</v>
      </c>
      <c r="D136" s="3" t="s">
        <v>665</v>
      </c>
      <c r="K136" s="25">
        <f t="shared" si="2"/>
        <v>3</v>
      </c>
    </row>
    <row r="137" spans="1:11" ht="15.75" x14ac:dyDescent="0.25">
      <c r="A137" s="5" t="s">
        <v>19</v>
      </c>
      <c r="B137" s="3" t="s">
        <v>832</v>
      </c>
      <c r="C137" s="6" t="s">
        <v>286</v>
      </c>
      <c r="D137" s="3" t="s">
        <v>493</v>
      </c>
      <c r="K137" s="25">
        <f t="shared" si="2"/>
        <v>2</v>
      </c>
    </row>
    <row r="138" spans="1:11" ht="15.75" x14ac:dyDescent="0.25">
      <c r="A138" s="5" t="s">
        <v>19</v>
      </c>
      <c r="B138" s="3" t="s">
        <v>833</v>
      </c>
      <c r="C138" s="6" t="s">
        <v>287</v>
      </c>
      <c r="D138" s="3" t="s">
        <v>38</v>
      </c>
      <c r="K138" s="25">
        <f t="shared" si="2"/>
        <v>1</v>
      </c>
    </row>
    <row r="139" spans="1:11" ht="15.75" x14ac:dyDescent="0.25">
      <c r="A139" s="5" t="s">
        <v>19</v>
      </c>
      <c r="B139" s="3" t="s">
        <v>583</v>
      </c>
      <c r="C139" s="18" t="s">
        <v>656</v>
      </c>
      <c r="D139" s="3" t="s">
        <v>655</v>
      </c>
      <c r="K139" s="25">
        <f t="shared" si="2"/>
        <v>2</v>
      </c>
    </row>
    <row r="140" spans="1:11" ht="15.75" x14ac:dyDescent="0.25">
      <c r="A140" s="5" t="s">
        <v>19</v>
      </c>
      <c r="B140" s="3" t="s">
        <v>834</v>
      </c>
      <c r="C140" s="6" t="s">
        <v>288</v>
      </c>
      <c r="D140" s="3" t="s">
        <v>70</v>
      </c>
      <c r="K140" s="25">
        <f t="shared" si="2"/>
        <v>1</v>
      </c>
    </row>
    <row r="141" spans="1:11" ht="15.75" x14ac:dyDescent="0.25">
      <c r="A141" s="5" t="s">
        <v>19</v>
      </c>
      <c r="B141" s="3" t="s">
        <v>835</v>
      </c>
      <c r="C141" s="6" t="s">
        <v>431</v>
      </c>
      <c r="D141" s="3" t="s">
        <v>53</v>
      </c>
      <c r="K141" s="25">
        <f t="shared" si="2"/>
        <v>3</v>
      </c>
    </row>
    <row r="142" spans="1:11" ht="15.75" x14ac:dyDescent="0.25">
      <c r="A142" s="5" t="s">
        <v>19</v>
      </c>
      <c r="B142" s="3" t="s">
        <v>836</v>
      </c>
      <c r="C142" s="6" t="s">
        <v>289</v>
      </c>
      <c r="D142" s="3" t="s">
        <v>617</v>
      </c>
      <c r="K142" s="25">
        <f t="shared" si="2"/>
        <v>2</v>
      </c>
    </row>
    <row r="143" spans="1:11" ht="15.75" x14ac:dyDescent="0.25">
      <c r="A143" s="5" t="s">
        <v>19</v>
      </c>
      <c r="B143" s="3" t="s">
        <v>631</v>
      </c>
      <c r="C143" s="6" t="s">
        <v>632</v>
      </c>
      <c r="D143" s="20" t="s">
        <v>701</v>
      </c>
      <c r="K143" s="25">
        <f t="shared" si="2"/>
        <v>2</v>
      </c>
    </row>
    <row r="144" spans="1:11" ht="15.75" x14ac:dyDescent="0.25">
      <c r="A144" s="5" t="s">
        <v>19</v>
      </c>
      <c r="B144" s="3" t="s">
        <v>494</v>
      </c>
      <c r="C144" s="6" t="s">
        <v>495</v>
      </c>
      <c r="D144" s="3" t="s">
        <v>633</v>
      </c>
      <c r="K144" s="25">
        <f t="shared" si="2"/>
        <v>3</v>
      </c>
    </row>
    <row r="145" spans="1:11" ht="15.75" x14ac:dyDescent="0.25">
      <c r="A145" s="5" t="s">
        <v>19</v>
      </c>
      <c r="B145" s="3" t="s">
        <v>596</v>
      </c>
      <c r="C145" s="6" t="s">
        <v>597</v>
      </c>
      <c r="D145" s="20" t="s">
        <v>708</v>
      </c>
      <c r="K145" s="25">
        <f t="shared" si="2"/>
        <v>3</v>
      </c>
    </row>
    <row r="146" spans="1:11" ht="15.75" x14ac:dyDescent="0.25">
      <c r="A146" s="5" t="s">
        <v>19</v>
      </c>
      <c r="B146" s="3" t="s">
        <v>837</v>
      </c>
      <c r="C146" s="6" t="s">
        <v>290</v>
      </c>
      <c r="D146" s="3" t="s">
        <v>31</v>
      </c>
      <c r="K146" s="25">
        <f t="shared" si="2"/>
        <v>2</v>
      </c>
    </row>
    <row r="147" spans="1:11" ht="15.75" x14ac:dyDescent="0.25">
      <c r="A147" s="5" t="s">
        <v>19</v>
      </c>
      <c r="B147" s="3" t="s">
        <v>32</v>
      </c>
      <c r="C147" s="6" t="s">
        <v>291</v>
      </c>
      <c r="D147" s="3" t="s">
        <v>97</v>
      </c>
      <c r="K147" s="25">
        <f t="shared" si="2"/>
        <v>2</v>
      </c>
    </row>
    <row r="148" spans="1:11" ht="15.75" x14ac:dyDescent="0.25">
      <c r="A148" s="5" t="s">
        <v>19</v>
      </c>
      <c r="B148" s="3" t="s">
        <v>706</v>
      </c>
      <c r="C148" s="6" t="s">
        <v>411</v>
      </c>
      <c r="D148" s="3" t="s">
        <v>707</v>
      </c>
      <c r="K148" s="25">
        <f t="shared" si="2"/>
        <v>6</v>
      </c>
    </row>
    <row r="149" spans="1:11" ht="15.75" x14ac:dyDescent="0.25">
      <c r="A149" s="5" t="s">
        <v>19</v>
      </c>
      <c r="B149" s="3" t="s">
        <v>838</v>
      </c>
      <c r="C149" s="6" t="s">
        <v>292</v>
      </c>
      <c r="D149" s="3" t="s">
        <v>38</v>
      </c>
      <c r="K149" s="25">
        <f t="shared" si="2"/>
        <v>1</v>
      </c>
    </row>
    <row r="150" spans="1:11" ht="15.75" x14ac:dyDescent="0.25">
      <c r="A150" s="5" t="s">
        <v>19</v>
      </c>
      <c r="B150" s="3" t="s">
        <v>839</v>
      </c>
      <c r="C150" s="6" t="s">
        <v>840</v>
      </c>
      <c r="D150" s="3" t="s">
        <v>45</v>
      </c>
      <c r="K150" s="25">
        <f t="shared" si="2"/>
        <v>2</v>
      </c>
    </row>
    <row r="151" spans="1:11" ht="15.75" x14ac:dyDescent="0.25">
      <c r="A151" s="5" t="s">
        <v>19</v>
      </c>
      <c r="B151" s="3" t="s">
        <v>841</v>
      </c>
      <c r="C151" s="6" t="s">
        <v>432</v>
      </c>
      <c r="D151" s="3" t="s">
        <v>594</v>
      </c>
      <c r="K151" s="25">
        <f t="shared" si="2"/>
        <v>3</v>
      </c>
    </row>
    <row r="152" spans="1:11" ht="15.75" x14ac:dyDescent="0.25">
      <c r="A152" s="5" t="s">
        <v>19</v>
      </c>
      <c r="B152" s="3" t="s">
        <v>843</v>
      </c>
      <c r="C152" s="6" t="s">
        <v>433</v>
      </c>
      <c r="D152" s="3" t="s">
        <v>38</v>
      </c>
      <c r="K152" s="25">
        <f t="shared" si="2"/>
        <v>1</v>
      </c>
    </row>
    <row r="153" spans="1:11" ht="15.75" x14ac:dyDescent="0.25">
      <c r="A153" s="5" t="s">
        <v>19</v>
      </c>
      <c r="B153" s="3" t="s">
        <v>844</v>
      </c>
      <c r="C153" s="6" t="s">
        <v>294</v>
      </c>
      <c r="D153" s="3" t="s">
        <v>565</v>
      </c>
      <c r="K153" s="25">
        <f t="shared" si="2"/>
        <v>4</v>
      </c>
    </row>
    <row r="154" spans="1:11" ht="15.75" x14ac:dyDescent="0.25">
      <c r="A154" s="5" t="s">
        <v>19</v>
      </c>
      <c r="B154" s="3" t="s">
        <v>845</v>
      </c>
      <c r="C154" s="6" t="s">
        <v>846</v>
      </c>
      <c r="D154" s="3" t="s">
        <v>159</v>
      </c>
      <c r="K154" s="25">
        <f t="shared" si="2"/>
        <v>6</v>
      </c>
    </row>
    <row r="155" spans="1:11" ht="15.75" x14ac:dyDescent="0.25">
      <c r="A155" s="5" t="s">
        <v>19</v>
      </c>
      <c r="B155" s="3" t="s">
        <v>830</v>
      </c>
      <c r="C155" s="6" t="s">
        <v>831</v>
      </c>
      <c r="D155" s="3" t="s">
        <v>615</v>
      </c>
      <c r="K155" s="25">
        <f t="shared" ref="K155:K156" si="3">LEN(D155)-LEN(SUBSTITUTE(D155,",",""))+1</f>
        <v>8</v>
      </c>
    </row>
    <row r="156" spans="1:11" ht="15.75" x14ac:dyDescent="0.25">
      <c r="A156" s="5" t="s">
        <v>19</v>
      </c>
      <c r="B156" s="3" t="s">
        <v>842</v>
      </c>
      <c r="C156" s="6" t="s">
        <v>293</v>
      </c>
      <c r="D156" s="3" t="s">
        <v>663</v>
      </c>
      <c r="K156" s="25">
        <f t="shared" si="3"/>
        <v>4</v>
      </c>
    </row>
    <row r="157" spans="1:11" ht="15.75" x14ac:dyDescent="0.25">
      <c r="A157" s="5" t="s">
        <v>19</v>
      </c>
      <c r="B157" s="3" t="s">
        <v>847</v>
      </c>
      <c r="C157" s="6" t="s">
        <v>295</v>
      </c>
      <c r="D157" s="3" t="s">
        <v>678</v>
      </c>
      <c r="K157" s="25">
        <f t="shared" si="2"/>
        <v>6</v>
      </c>
    </row>
    <row r="158" spans="1:11" ht="15.75" x14ac:dyDescent="0.25">
      <c r="A158" s="5" t="s">
        <v>19</v>
      </c>
      <c r="B158" s="3" t="s">
        <v>848</v>
      </c>
      <c r="C158" s="6" t="s">
        <v>296</v>
      </c>
      <c r="D158" s="3" t="s">
        <v>38</v>
      </c>
      <c r="K158" s="25">
        <f t="shared" si="2"/>
        <v>1</v>
      </c>
    </row>
    <row r="159" spans="1:11" ht="15.75" x14ac:dyDescent="0.25">
      <c r="A159" s="5" t="s">
        <v>19</v>
      </c>
      <c r="B159" s="3" t="s">
        <v>849</v>
      </c>
      <c r="C159" s="6" t="s">
        <v>297</v>
      </c>
      <c r="D159" s="3" t="s">
        <v>49</v>
      </c>
      <c r="K159" s="25">
        <f t="shared" si="2"/>
        <v>1</v>
      </c>
    </row>
    <row r="160" spans="1:11" ht="15.75" x14ac:dyDescent="0.25">
      <c r="A160" s="5" t="s">
        <v>19</v>
      </c>
      <c r="B160" s="3" t="s">
        <v>898</v>
      </c>
      <c r="C160" s="6" t="s">
        <v>348</v>
      </c>
      <c r="D160" s="3" t="s">
        <v>612</v>
      </c>
      <c r="K160" s="25">
        <f t="shared" si="2"/>
        <v>22</v>
      </c>
    </row>
    <row r="161" spans="1:11" ht="15.75" x14ac:dyDescent="0.25">
      <c r="A161" s="5" t="s">
        <v>19</v>
      </c>
      <c r="B161" s="3" t="s">
        <v>850</v>
      </c>
      <c r="C161" s="6" t="s">
        <v>298</v>
      </c>
      <c r="D161" s="3" t="s">
        <v>38</v>
      </c>
      <c r="K161" s="25">
        <f t="shared" si="2"/>
        <v>1</v>
      </c>
    </row>
    <row r="162" spans="1:11" ht="15.75" x14ac:dyDescent="0.25">
      <c r="A162" s="5" t="s">
        <v>19</v>
      </c>
      <c r="B162" s="3" t="s">
        <v>986</v>
      </c>
      <c r="C162" s="6" t="s">
        <v>351</v>
      </c>
      <c r="D162" s="3" t="s">
        <v>675</v>
      </c>
      <c r="K162" s="25">
        <f t="shared" si="2"/>
        <v>4</v>
      </c>
    </row>
    <row r="163" spans="1:11" ht="15.75" x14ac:dyDescent="0.25">
      <c r="A163" s="5" t="s">
        <v>19</v>
      </c>
      <c r="B163" s="3" t="s">
        <v>851</v>
      </c>
      <c r="C163" s="6" t="s">
        <v>434</v>
      </c>
      <c r="D163" s="3" t="s">
        <v>570</v>
      </c>
      <c r="K163" s="25">
        <f t="shared" si="2"/>
        <v>2</v>
      </c>
    </row>
    <row r="164" spans="1:11" ht="15.75" x14ac:dyDescent="0.25">
      <c r="A164" s="5" t="s">
        <v>19</v>
      </c>
      <c r="B164" s="3" t="s">
        <v>688</v>
      </c>
      <c r="C164" s="6" t="s">
        <v>332</v>
      </c>
      <c r="D164" s="20">
        <v>45907</v>
      </c>
      <c r="K164" s="25">
        <f t="shared" si="2"/>
        <v>1</v>
      </c>
    </row>
    <row r="165" spans="1:11" ht="15.75" x14ac:dyDescent="0.25">
      <c r="A165" s="5" t="s">
        <v>19</v>
      </c>
      <c r="B165" s="3" t="s">
        <v>852</v>
      </c>
      <c r="C165" s="6" t="s">
        <v>299</v>
      </c>
      <c r="D165" s="3" t="s">
        <v>36</v>
      </c>
      <c r="K165" s="25">
        <f t="shared" si="2"/>
        <v>1</v>
      </c>
    </row>
    <row r="166" spans="1:11" ht="15.75" x14ac:dyDescent="0.25">
      <c r="A166" s="5" t="s">
        <v>19</v>
      </c>
      <c r="B166" s="3" t="s">
        <v>587</v>
      </c>
      <c r="C166" s="18" t="s">
        <v>592</v>
      </c>
      <c r="D166" s="3" t="s">
        <v>562</v>
      </c>
      <c r="K166" s="25">
        <f t="shared" si="2"/>
        <v>1</v>
      </c>
    </row>
    <row r="167" spans="1:11" ht="15.75" x14ac:dyDescent="0.25">
      <c r="A167" s="5" t="s">
        <v>19</v>
      </c>
      <c r="B167" s="3" t="s">
        <v>853</v>
      </c>
      <c r="C167" s="6" t="s">
        <v>300</v>
      </c>
      <c r="D167" s="3" t="s">
        <v>62</v>
      </c>
      <c r="K167" s="25">
        <f t="shared" si="2"/>
        <v>1</v>
      </c>
    </row>
    <row r="168" spans="1:11" ht="15.75" x14ac:dyDescent="0.25">
      <c r="A168" s="5" t="s">
        <v>19</v>
      </c>
      <c r="B168" s="3" t="s">
        <v>854</v>
      </c>
      <c r="C168" s="6" t="s">
        <v>435</v>
      </c>
      <c r="D168" s="3" t="s">
        <v>38</v>
      </c>
      <c r="K168" s="25">
        <f t="shared" si="2"/>
        <v>1</v>
      </c>
    </row>
    <row r="169" spans="1:11" ht="15.75" x14ac:dyDescent="0.25">
      <c r="A169" s="5" t="s">
        <v>19</v>
      </c>
      <c r="B169" s="3" t="s">
        <v>686</v>
      </c>
      <c r="C169" s="6" t="s">
        <v>687</v>
      </c>
      <c r="D169" s="21">
        <v>45907</v>
      </c>
      <c r="K169" s="25">
        <f t="shared" si="2"/>
        <v>1</v>
      </c>
    </row>
    <row r="170" spans="1:11" ht="15.75" x14ac:dyDescent="0.25">
      <c r="A170" s="5" t="s">
        <v>19</v>
      </c>
      <c r="B170" s="3" t="s">
        <v>855</v>
      </c>
      <c r="C170" s="6" t="s">
        <v>41</v>
      </c>
      <c r="D170" s="3" t="s">
        <v>130</v>
      </c>
      <c r="K170" s="25">
        <f t="shared" si="2"/>
        <v>3</v>
      </c>
    </row>
    <row r="171" spans="1:11" ht="15.75" x14ac:dyDescent="0.25">
      <c r="A171" s="5" t="s">
        <v>19</v>
      </c>
      <c r="B171" s="3" t="s">
        <v>856</v>
      </c>
      <c r="C171" s="6" t="s">
        <v>436</v>
      </c>
      <c r="D171" s="3" t="s">
        <v>50</v>
      </c>
      <c r="K171" s="25">
        <f t="shared" si="2"/>
        <v>1</v>
      </c>
    </row>
    <row r="172" spans="1:11" ht="15.75" x14ac:dyDescent="0.25">
      <c r="A172" s="5" t="s">
        <v>19</v>
      </c>
      <c r="B172" s="3" t="s">
        <v>857</v>
      </c>
      <c r="C172" s="6" t="s">
        <v>303</v>
      </c>
      <c r="D172" s="3" t="s">
        <v>584</v>
      </c>
      <c r="K172" s="25">
        <f t="shared" si="2"/>
        <v>5</v>
      </c>
    </row>
    <row r="173" spans="1:11" ht="15.75" x14ac:dyDescent="0.25">
      <c r="A173" s="5" t="s">
        <v>19</v>
      </c>
      <c r="B173" s="3" t="s">
        <v>858</v>
      </c>
      <c r="C173" s="6" t="s">
        <v>304</v>
      </c>
      <c r="D173" s="3" t="s">
        <v>676</v>
      </c>
      <c r="K173" s="25">
        <f t="shared" si="2"/>
        <v>3</v>
      </c>
    </row>
    <row r="174" spans="1:11" ht="15.75" x14ac:dyDescent="0.25">
      <c r="A174" s="5" t="s">
        <v>19</v>
      </c>
      <c r="B174" s="3" t="s">
        <v>577</v>
      </c>
      <c r="C174" s="18" t="s">
        <v>578</v>
      </c>
      <c r="D174" s="3" t="s">
        <v>562</v>
      </c>
      <c r="K174" s="25">
        <f t="shared" si="2"/>
        <v>1</v>
      </c>
    </row>
    <row r="175" spans="1:11" ht="15.75" x14ac:dyDescent="0.25">
      <c r="A175" s="5" t="s">
        <v>19</v>
      </c>
      <c r="B175" s="3" t="s">
        <v>94</v>
      </c>
      <c r="C175" s="6" t="s">
        <v>437</v>
      </c>
      <c r="D175" s="3" t="s">
        <v>127</v>
      </c>
      <c r="K175" s="25">
        <f t="shared" si="2"/>
        <v>2</v>
      </c>
    </row>
    <row r="176" spans="1:11" ht="15.75" x14ac:dyDescent="0.25">
      <c r="A176" s="5" t="s">
        <v>19</v>
      </c>
      <c r="B176" s="3" t="s">
        <v>575</v>
      </c>
      <c r="C176" s="6" t="s">
        <v>305</v>
      </c>
      <c r="D176" s="3" t="s">
        <v>570</v>
      </c>
      <c r="K176" s="25">
        <f t="shared" si="2"/>
        <v>2</v>
      </c>
    </row>
    <row r="177" spans="1:11" ht="15.75" x14ac:dyDescent="0.25">
      <c r="A177" s="5" t="s">
        <v>19</v>
      </c>
      <c r="B177" s="3" t="s">
        <v>154</v>
      </c>
      <c r="C177" s="6" t="s">
        <v>155</v>
      </c>
      <c r="D177" s="3" t="s">
        <v>156</v>
      </c>
      <c r="K177" s="25">
        <f t="shared" si="2"/>
        <v>1</v>
      </c>
    </row>
    <row r="178" spans="1:11" ht="15.75" x14ac:dyDescent="0.25">
      <c r="A178" s="5" t="s">
        <v>19</v>
      </c>
      <c r="B178" s="3" t="s">
        <v>859</v>
      </c>
      <c r="C178" s="6" t="s">
        <v>306</v>
      </c>
      <c r="D178" s="3" t="s">
        <v>38</v>
      </c>
      <c r="K178" s="25">
        <f t="shared" si="2"/>
        <v>1</v>
      </c>
    </row>
    <row r="179" spans="1:11" ht="15.75" x14ac:dyDescent="0.25">
      <c r="A179" s="5" t="s">
        <v>19</v>
      </c>
      <c r="B179" s="3" t="s">
        <v>126</v>
      </c>
      <c r="C179" s="6" t="s">
        <v>307</v>
      </c>
      <c r="D179" s="3" t="s">
        <v>125</v>
      </c>
      <c r="K179" s="25">
        <f t="shared" si="2"/>
        <v>1</v>
      </c>
    </row>
    <row r="180" spans="1:11" ht="15.75" x14ac:dyDescent="0.25">
      <c r="A180" s="5" t="s">
        <v>19</v>
      </c>
      <c r="B180" s="3" t="s">
        <v>860</v>
      </c>
      <c r="C180" s="6" t="s">
        <v>438</v>
      </c>
      <c r="D180" s="3" t="s">
        <v>131</v>
      </c>
      <c r="K180" s="25">
        <f t="shared" si="2"/>
        <v>5</v>
      </c>
    </row>
    <row r="181" spans="1:11" ht="15.75" x14ac:dyDescent="0.25">
      <c r="A181" s="5" t="s">
        <v>19</v>
      </c>
      <c r="B181" s="3" t="s">
        <v>861</v>
      </c>
      <c r="C181" s="6" t="s">
        <v>439</v>
      </c>
      <c r="D181" s="3" t="s">
        <v>570</v>
      </c>
      <c r="K181" s="25">
        <f t="shared" si="2"/>
        <v>2</v>
      </c>
    </row>
    <row r="182" spans="1:11" ht="15.75" x14ac:dyDescent="0.25">
      <c r="A182" s="5" t="s">
        <v>19</v>
      </c>
      <c r="B182" s="3" t="s">
        <v>862</v>
      </c>
      <c r="C182" s="6" t="s">
        <v>308</v>
      </c>
      <c r="D182" s="3" t="s">
        <v>681</v>
      </c>
      <c r="K182" s="25">
        <f t="shared" si="2"/>
        <v>3</v>
      </c>
    </row>
    <row r="183" spans="1:11" ht="15.75" x14ac:dyDescent="0.25">
      <c r="A183" s="5" t="s">
        <v>19</v>
      </c>
      <c r="B183" s="3" t="s">
        <v>863</v>
      </c>
      <c r="C183" s="6" t="s">
        <v>309</v>
      </c>
      <c r="D183" s="3" t="s">
        <v>23</v>
      </c>
      <c r="K183" s="25">
        <f t="shared" si="2"/>
        <v>1</v>
      </c>
    </row>
    <row r="184" spans="1:11" ht="15.75" x14ac:dyDescent="0.25">
      <c r="A184" s="5" t="s">
        <v>19</v>
      </c>
      <c r="B184" s="3" t="s">
        <v>864</v>
      </c>
      <c r="C184" s="6" t="s">
        <v>310</v>
      </c>
      <c r="D184" s="3" t="s">
        <v>38</v>
      </c>
      <c r="K184" s="25">
        <f t="shared" si="2"/>
        <v>1</v>
      </c>
    </row>
    <row r="185" spans="1:11" ht="15.75" x14ac:dyDescent="0.25">
      <c r="A185" s="5" t="s">
        <v>19</v>
      </c>
      <c r="B185" s="3" t="s">
        <v>1044</v>
      </c>
      <c r="C185" s="6" t="s">
        <v>311</v>
      </c>
      <c r="D185" s="3" t="s">
        <v>138</v>
      </c>
      <c r="K185" s="25">
        <f t="shared" si="2"/>
        <v>19</v>
      </c>
    </row>
    <row r="186" spans="1:11" ht="15.75" x14ac:dyDescent="0.25">
      <c r="A186" s="5" t="s">
        <v>19</v>
      </c>
      <c r="B186" s="3" t="s">
        <v>302</v>
      </c>
      <c r="C186" s="6" t="s">
        <v>301</v>
      </c>
      <c r="D186" s="3" t="s">
        <v>38</v>
      </c>
      <c r="K186" s="25">
        <f t="shared" ref="K186:K249" si="4">LEN(D186)-LEN(SUBSTITUTE(D186,",",""))+1</f>
        <v>1</v>
      </c>
    </row>
    <row r="187" spans="1:11" ht="15.75" x14ac:dyDescent="0.25">
      <c r="A187" s="5" t="s">
        <v>19</v>
      </c>
      <c r="B187" s="3" t="s">
        <v>1045</v>
      </c>
      <c r="C187" s="6" t="s">
        <v>312</v>
      </c>
      <c r="D187" s="3" t="s">
        <v>571</v>
      </c>
      <c r="K187" s="25">
        <f t="shared" si="4"/>
        <v>3</v>
      </c>
    </row>
    <row r="188" spans="1:11" ht="15.75" x14ac:dyDescent="0.25">
      <c r="A188" s="5" t="s">
        <v>19</v>
      </c>
      <c r="B188" s="3" t="s">
        <v>865</v>
      </c>
      <c r="C188" s="6" t="s">
        <v>150</v>
      </c>
      <c r="D188" s="3" t="s">
        <v>601</v>
      </c>
      <c r="K188" s="25">
        <f t="shared" si="4"/>
        <v>4</v>
      </c>
    </row>
    <row r="189" spans="1:11" ht="15.75" x14ac:dyDescent="0.25">
      <c r="A189" s="5" t="s">
        <v>19</v>
      </c>
      <c r="B189" s="3" t="s">
        <v>866</v>
      </c>
      <c r="C189" s="6" t="s">
        <v>313</v>
      </c>
      <c r="D189" s="3" t="s">
        <v>613</v>
      </c>
      <c r="K189" s="25">
        <f t="shared" si="4"/>
        <v>6</v>
      </c>
    </row>
    <row r="190" spans="1:11" ht="15.75" x14ac:dyDescent="0.25">
      <c r="A190" s="5" t="s">
        <v>19</v>
      </c>
      <c r="B190" s="3" t="s">
        <v>1046</v>
      </c>
      <c r="C190" s="6" t="s">
        <v>314</v>
      </c>
      <c r="D190" s="3" t="s">
        <v>112</v>
      </c>
      <c r="K190" s="25">
        <f t="shared" si="4"/>
        <v>1</v>
      </c>
    </row>
    <row r="191" spans="1:11" ht="15.75" x14ac:dyDescent="0.25">
      <c r="A191" s="5" t="s">
        <v>19</v>
      </c>
      <c r="B191" s="3" t="s">
        <v>1047</v>
      </c>
      <c r="C191" s="18" t="s">
        <v>581</v>
      </c>
      <c r="D191" s="3" t="s">
        <v>562</v>
      </c>
      <c r="K191" s="25">
        <f t="shared" si="4"/>
        <v>1</v>
      </c>
    </row>
    <row r="192" spans="1:11" ht="15.75" x14ac:dyDescent="0.25">
      <c r="A192" s="5" t="s">
        <v>19</v>
      </c>
      <c r="B192" s="3" t="s">
        <v>867</v>
      </c>
      <c r="C192" s="6" t="s">
        <v>315</v>
      </c>
      <c r="D192" s="3" t="s">
        <v>586</v>
      </c>
      <c r="K192" s="25">
        <f t="shared" si="4"/>
        <v>4</v>
      </c>
    </row>
    <row r="193" spans="1:11" ht="15.75" x14ac:dyDescent="0.25">
      <c r="A193" s="5" t="s">
        <v>19</v>
      </c>
      <c r="B193" s="3" t="s">
        <v>868</v>
      </c>
      <c r="C193" s="6" t="s">
        <v>316</v>
      </c>
      <c r="D193" s="3" t="s">
        <v>38</v>
      </c>
      <c r="K193" s="25">
        <f t="shared" si="4"/>
        <v>1</v>
      </c>
    </row>
    <row r="194" spans="1:11" ht="15.75" x14ac:dyDescent="0.25">
      <c r="A194" s="5" t="s">
        <v>19</v>
      </c>
      <c r="B194" s="3" t="s">
        <v>498</v>
      </c>
      <c r="C194" s="6" t="s">
        <v>339</v>
      </c>
      <c r="D194" s="3" t="s">
        <v>487</v>
      </c>
      <c r="K194" s="25">
        <f t="shared" si="4"/>
        <v>1</v>
      </c>
    </row>
    <row r="195" spans="1:11" ht="15.75" x14ac:dyDescent="0.25">
      <c r="A195" s="5" t="s">
        <v>19</v>
      </c>
      <c r="B195" s="3" t="s">
        <v>869</v>
      </c>
      <c r="C195" s="6" t="s">
        <v>440</v>
      </c>
      <c r="D195" s="3" t="s">
        <v>97</v>
      </c>
      <c r="K195" s="25">
        <f t="shared" si="4"/>
        <v>2</v>
      </c>
    </row>
    <row r="196" spans="1:11" ht="15.75" x14ac:dyDescent="0.25">
      <c r="A196" s="5" t="s">
        <v>19</v>
      </c>
      <c r="B196" s="3" t="s">
        <v>870</v>
      </c>
      <c r="C196" s="6" t="s">
        <v>439</v>
      </c>
      <c r="D196" s="3" t="s">
        <v>52</v>
      </c>
      <c r="K196" s="25">
        <f t="shared" si="4"/>
        <v>2</v>
      </c>
    </row>
    <row r="197" spans="1:11" ht="15.75" x14ac:dyDescent="0.25">
      <c r="A197" s="5" t="s">
        <v>19</v>
      </c>
      <c r="B197" s="3" t="s">
        <v>871</v>
      </c>
      <c r="C197" s="6" t="s">
        <v>319</v>
      </c>
      <c r="D197" s="3" t="s">
        <v>106</v>
      </c>
      <c r="K197" s="25">
        <f t="shared" si="4"/>
        <v>6</v>
      </c>
    </row>
    <row r="198" spans="1:11" ht="15.75" x14ac:dyDescent="0.25">
      <c r="A198" s="5" t="s">
        <v>19</v>
      </c>
      <c r="B198" s="3" t="s">
        <v>872</v>
      </c>
      <c r="C198" s="6" t="s">
        <v>320</v>
      </c>
      <c r="D198" s="3" t="s">
        <v>38</v>
      </c>
      <c r="K198" s="25">
        <f t="shared" si="4"/>
        <v>1</v>
      </c>
    </row>
    <row r="199" spans="1:11" ht="15.75" x14ac:dyDescent="0.25">
      <c r="A199" s="5" t="s">
        <v>19</v>
      </c>
      <c r="B199" s="3" t="s">
        <v>873</v>
      </c>
      <c r="C199" s="6" t="s">
        <v>73</v>
      </c>
      <c r="D199" s="3" t="s">
        <v>132</v>
      </c>
      <c r="K199" s="25">
        <f t="shared" si="4"/>
        <v>2</v>
      </c>
    </row>
    <row r="200" spans="1:11" ht="15.75" x14ac:dyDescent="0.25">
      <c r="A200" s="5" t="s">
        <v>19</v>
      </c>
      <c r="B200" s="3" t="s">
        <v>874</v>
      </c>
      <c r="C200" s="6" t="s">
        <v>321</v>
      </c>
      <c r="D200" s="3" t="s">
        <v>139</v>
      </c>
      <c r="K200" s="25">
        <f t="shared" si="4"/>
        <v>14</v>
      </c>
    </row>
    <row r="201" spans="1:11" ht="15.75" x14ac:dyDescent="0.25">
      <c r="A201" s="5" t="s">
        <v>19</v>
      </c>
      <c r="B201" s="3" t="s">
        <v>54</v>
      </c>
      <c r="C201" s="6" t="s">
        <v>436</v>
      </c>
      <c r="D201" s="3" t="s">
        <v>50</v>
      </c>
      <c r="K201" s="25">
        <f t="shared" si="4"/>
        <v>1</v>
      </c>
    </row>
    <row r="202" spans="1:11" ht="15.75" x14ac:dyDescent="0.25">
      <c r="A202" s="5" t="s">
        <v>19</v>
      </c>
      <c r="B202" s="3" t="s">
        <v>693</v>
      </c>
      <c r="C202" s="6" t="s">
        <v>392</v>
      </c>
      <c r="D202" s="20">
        <v>45907</v>
      </c>
      <c r="K202" s="25">
        <f t="shared" si="4"/>
        <v>1</v>
      </c>
    </row>
    <row r="203" spans="1:11" ht="15.75" x14ac:dyDescent="0.25">
      <c r="A203" s="5" t="s">
        <v>19</v>
      </c>
      <c r="B203" s="3" t="s">
        <v>323</v>
      </c>
      <c r="C203" s="6" t="s">
        <v>322</v>
      </c>
      <c r="D203" s="3" t="s">
        <v>33</v>
      </c>
      <c r="K203" s="25">
        <f t="shared" si="4"/>
        <v>1</v>
      </c>
    </row>
    <row r="204" spans="1:11" ht="15.75" x14ac:dyDescent="0.25">
      <c r="A204" s="5" t="s">
        <v>19</v>
      </c>
      <c r="B204" s="3" t="s">
        <v>875</v>
      </c>
      <c r="C204" s="6" t="s">
        <v>441</v>
      </c>
      <c r="D204" s="3" t="s">
        <v>115</v>
      </c>
      <c r="K204" s="25">
        <f t="shared" si="4"/>
        <v>15</v>
      </c>
    </row>
    <row r="205" spans="1:11" ht="15.75" x14ac:dyDescent="0.25">
      <c r="A205" s="5" t="s">
        <v>19</v>
      </c>
      <c r="B205" s="3" t="s">
        <v>568</v>
      </c>
      <c r="C205" s="18" t="s">
        <v>569</v>
      </c>
      <c r="D205" s="3" t="s">
        <v>562</v>
      </c>
      <c r="K205" s="25">
        <f t="shared" si="4"/>
        <v>1</v>
      </c>
    </row>
    <row r="206" spans="1:11" ht="15.75" x14ac:dyDescent="0.25">
      <c r="A206" s="5" t="s">
        <v>19</v>
      </c>
      <c r="B206" s="3" t="s">
        <v>876</v>
      </c>
      <c r="C206" s="6" t="s">
        <v>324</v>
      </c>
      <c r="D206" s="3" t="s">
        <v>70</v>
      </c>
      <c r="K206" s="25">
        <f t="shared" si="4"/>
        <v>1</v>
      </c>
    </row>
    <row r="207" spans="1:11" ht="15.75" x14ac:dyDescent="0.25">
      <c r="A207" s="5" t="s">
        <v>19</v>
      </c>
      <c r="B207" s="3" t="s">
        <v>877</v>
      </c>
      <c r="C207" s="6" t="s">
        <v>442</v>
      </c>
      <c r="D207" s="3" t="s">
        <v>38</v>
      </c>
      <c r="K207" s="25">
        <f t="shared" si="4"/>
        <v>1</v>
      </c>
    </row>
    <row r="208" spans="1:11" ht="15.75" x14ac:dyDescent="0.25">
      <c r="A208" s="5" t="s">
        <v>19</v>
      </c>
      <c r="B208" s="3" t="s">
        <v>878</v>
      </c>
      <c r="C208" s="6" t="s">
        <v>318</v>
      </c>
      <c r="D208" s="3" t="s">
        <v>658</v>
      </c>
      <c r="K208" s="25">
        <f t="shared" si="4"/>
        <v>2</v>
      </c>
    </row>
    <row r="209" spans="1:11" ht="15.75" x14ac:dyDescent="0.25">
      <c r="A209" s="5" t="s">
        <v>19</v>
      </c>
      <c r="B209" s="3" t="s">
        <v>879</v>
      </c>
      <c r="C209" s="6" t="s">
        <v>325</v>
      </c>
      <c r="D209" s="3" t="s">
        <v>38</v>
      </c>
      <c r="K209" s="25">
        <f t="shared" si="4"/>
        <v>1</v>
      </c>
    </row>
    <row r="210" spans="1:11" ht="15.75" x14ac:dyDescent="0.25">
      <c r="A210" s="5" t="s">
        <v>19</v>
      </c>
      <c r="B210" s="3" t="s">
        <v>699</v>
      </c>
      <c r="C210" s="6" t="s">
        <v>326</v>
      </c>
      <c r="D210" s="3" t="s">
        <v>700</v>
      </c>
      <c r="K210" s="25">
        <f t="shared" si="4"/>
        <v>2</v>
      </c>
    </row>
    <row r="211" spans="1:11" ht="15.75" x14ac:dyDescent="0.25">
      <c r="A211" s="5" t="s">
        <v>19</v>
      </c>
      <c r="B211" s="3" t="s">
        <v>880</v>
      </c>
      <c r="C211" s="6" t="s">
        <v>327</v>
      </c>
      <c r="D211" s="3" t="s">
        <v>38</v>
      </c>
      <c r="K211" s="25">
        <f t="shared" si="4"/>
        <v>1</v>
      </c>
    </row>
    <row r="212" spans="1:11" ht="15.75" x14ac:dyDescent="0.25">
      <c r="A212" s="5" t="s">
        <v>19</v>
      </c>
      <c r="B212" s="3" t="s">
        <v>1048</v>
      </c>
      <c r="C212" s="6" t="s">
        <v>328</v>
      </c>
      <c r="D212" s="3" t="s">
        <v>134</v>
      </c>
      <c r="K212" s="25">
        <f t="shared" si="4"/>
        <v>1</v>
      </c>
    </row>
    <row r="213" spans="1:11" ht="15.75" x14ac:dyDescent="0.25">
      <c r="A213" s="5" t="s">
        <v>19</v>
      </c>
      <c r="B213" s="3" t="s">
        <v>881</v>
      </c>
      <c r="C213" s="6" t="s">
        <v>329</v>
      </c>
      <c r="D213" s="3" t="s">
        <v>38</v>
      </c>
      <c r="K213" s="25">
        <f t="shared" si="4"/>
        <v>1</v>
      </c>
    </row>
    <row r="214" spans="1:11" ht="15.75" x14ac:dyDescent="0.25">
      <c r="A214" s="5" t="s">
        <v>19</v>
      </c>
      <c r="B214" s="3" t="s">
        <v>882</v>
      </c>
      <c r="C214" s="6" t="s">
        <v>330</v>
      </c>
      <c r="D214" s="3" t="s">
        <v>28</v>
      </c>
      <c r="K214" s="25">
        <f t="shared" si="4"/>
        <v>2</v>
      </c>
    </row>
    <row r="215" spans="1:11" ht="15.75" x14ac:dyDescent="0.25">
      <c r="A215" s="5" t="s">
        <v>19</v>
      </c>
      <c r="B215" s="3" t="s">
        <v>692</v>
      </c>
      <c r="C215" s="6" t="s">
        <v>691</v>
      </c>
      <c r="D215" s="20">
        <v>45907</v>
      </c>
      <c r="K215" s="25">
        <f t="shared" si="4"/>
        <v>1</v>
      </c>
    </row>
    <row r="216" spans="1:11" ht="15.75" x14ac:dyDescent="0.25">
      <c r="A216" s="5" t="s">
        <v>19</v>
      </c>
      <c r="B216" s="3" t="s">
        <v>1049</v>
      </c>
      <c r="C216" s="6" t="s">
        <v>331</v>
      </c>
      <c r="D216" s="3" t="s">
        <v>102</v>
      </c>
      <c r="K216" s="25">
        <f t="shared" si="4"/>
        <v>1</v>
      </c>
    </row>
    <row r="217" spans="1:11" ht="15.75" x14ac:dyDescent="0.25">
      <c r="A217" s="5" t="s">
        <v>19</v>
      </c>
      <c r="B217" s="3" t="s">
        <v>65</v>
      </c>
      <c r="C217" s="6" t="s">
        <v>443</v>
      </c>
      <c r="D217" s="3" t="s">
        <v>66</v>
      </c>
      <c r="K217" s="25">
        <f t="shared" si="4"/>
        <v>1</v>
      </c>
    </row>
    <row r="218" spans="1:11" ht="15.75" x14ac:dyDescent="0.25">
      <c r="A218" s="5" t="s">
        <v>19</v>
      </c>
      <c r="B218" s="3" t="s">
        <v>499</v>
      </c>
      <c r="C218" s="6" t="s">
        <v>509</v>
      </c>
      <c r="D218" s="3" t="s">
        <v>487</v>
      </c>
      <c r="K218" s="25">
        <f t="shared" si="4"/>
        <v>1</v>
      </c>
    </row>
    <row r="219" spans="1:11" ht="15.75" x14ac:dyDescent="0.25">
      <c r="A219" s="5" t="s">
        <v>19</v>
      </c>
      <c r="B219" s="3" t="s">
        <v>883</v>
      </c>
      <c r="C219" s="6" t="s">
        <v>332</v>
      </c>
      <c r="D219" s="3" t="s">
        <v>31</v>
      </c>
      <c r="K219" s="25">
        <f t="shared" si="4"/>
        <v>2</v>
      </c>
    </row>
    <row r="220" spans="1:11" ht="15.75" x14ac:dyDescent="0.25">
      <c r="A220" s="5" t="s">
        <v>19</v>
      </c>
      <c r="B220" s="3" t="s">
        <v>1050</v>
      </c>
      <c r="C220" s="6" t="s">
        <v>333</v>
      </c>
      <c r="D220" s="3" t="s">
        <v>156</v>
      </c>
      <c r="K220" s="25">
        <f t="shared" si="4"/>
        <v>1</v>
      </c>
    </row>
    <row r="221" spans="1:11" ht="15.75" x14ac:dyDescent="0.25">
      <c r="A221" s="5" t="s">
        <v>19</v>
      </c>
      <c r="B221" s="3" t="s">
        <v>884</v>
      </c>
      <c r="C221" s="6" t="s">
        <v>444</v>
      </c>
      <c r="D221" s="3" t="s">
        <v>38</v>
      </c>
      <c r="K221" s="25">
        <f t="shared" si="4"/>
        <v>1</v>
      </c>
    </row>
    <row r="222" spans="1:11" ht="15.75" x14ac:dyDescent="0.25">
      <c r="A222" s="5" t="s">
        <v>19</v>
      </c>
      <c r="B222" s="3" t="s">
        <v>1051</v>
      </c>
      <c r="C222" s="6" t="s">
        <v>334</v>
      </c>
      <c r="D222" s="3" t="s">
        <v>156</v>
      </c>
      <c r="K222" s="25">
        <f t="shared" si="4"/>
        <v>1</v>
      </c>
    </row>
    <row r="223" spans="1:11" ht="15.75" x14ac:dyDescent="0.25">
      <c r="A223" s="5" t="s">
        <v>19</v>
      </c>
      <c r="B223" s="3" t="s">
        <v>885</v>
      </c>
      <c r="C223" s="6" t="s">
        <v>335</v>
      </c>
      <c r="D223" s="3" t="s">
        <v>31</v>
      </c>
      <c r="K223" s="25">
        <f t="shared" si="4"/>
        <v>2</v>
      </c>
    </row>
    <row r="224" spans="1:11" ht="15.75" x14ac:dyDescent="0.25">
      <c r="A224" s="5" t="s">
        <v>19</v>
      </c>
      <c r="B224" s="3" t="s">
        <v>25</v>
      </c>
      <c r="C224" s="6" t="s">
        <v>886</v>
      </c>
      <c r="D224" s="3" t="s">
        <v>447</v>
      </c>
      <c r="K224" s="25">
        <f t="shared" si="4"/>
        <v>2</v>
      </c>
    </row>
    <row r="225" spans="1:11" ht="15.75" x14ac:dyDescent="0.25">
      <c r="A225" s="5" t="s">
        <v>19</v>
      </c>
      <c r="B225" s="3" t="s">
        <v>887</v>
      </c>
      <c r="C225" s="6" t="s">
        <v>336</v>
      </c>
      <c r="D225" s="3" t="s">
        <v>682</v>
      </c>
      <c r="K225" s="25">
        <f t="shared" si="4"/>
        <v>4</v>
      </c>
    </row>
    <row r="226" spans="1:11" ht="15.75" x14ac:dyDescent="0.25">
      <c r="A226" s="5" t="s">
        <v>19</v>
      </c>
      <c r="B226" s="3" t="s">
        <v>888</v>
      </c>
      <c r="C226" s="6" t="s">
        <v>337</v>
      </c>
      <c r="D226" s="3" t="s">
        <v>66</v>
      </c>
      <c r="K226" s="25">
        <f t="shared" si="4"/>
        <v>1</v>
      </c>
    </row>
    <row r="227" spans="1:11" ht="15.75" x14ac:dyDescent="0.25">
      <c r="A227" s="5" t="s">
        <v>19</v>
      </c>
      <c r="B227" s="3" t="s">
        <v>889</v>
      </c>
      <c r="C227" s="6" t="s">
        <v>350</v>
      </c>
      <c r="D227" s="3" t="s">
        <v>23</v>
      </c>
      <c r="K227" s="25">
        <f t="shared" si="4"/>
        <v>1</v>
      </c>
    </row>
    <row r="228" spans="1:11" ht="15.75" x14ac:dyDescent="0.25">
      <c r="A228" s="5" t="s">
        <v>19</v>
      </c>
      <c r="B228" s="3" t="s">
        <v>890</v>
      </c>
      <c r="C228" s="6" t="s">
        <v>340</v>
      </c>
      <c r="D228" s="3" t="s">
        <v>57</v>
      </c>
      <c r="K228" s="25">
        <f t="shared" si="4"/>
        <v>3</v>
      </c>
    </row>
    <row r="229" spans="1:11" ht="15.75" x14ac:dyDescent="0.25">
      <c r="A229" s="5" t="s">
        <v>19</v>
      </c>
      <c r="B229" s="3" t="s">
        <v>891</v>
      </c>
      <c r="C229" s="6" t="s">
        <v>297</v>
      </c>
      <c r="D229" s="3" t="s">
        <v>677</v>
      </c>
      <c r="K229" s="25">
        <f t="shared" si="4"/>
        <v>3</v>
      </c>
    </row>
    <row r="230" spans="1:11" ht="15.75" x14ac:dyDescent="0.25">
      <c r="A230" s="5" t="s">
        <v>19</v>
      </c>
      <c r="B230" s="3" t="s">
        <v>892</v>
      </c>
      <c r="C230" s="6" t="s">
        <v>342</v>
      </c>
      <c r="D230" s="3" t="s">
        <v>38</v>
      </c>
      <c r="K230" s="25">
        <f t="shared" si="4"/>
        <v>1</v>
      </c>
    </row>
    <row r="231" spans="1:11" ht="15.75" x14ac:dyDescent="0.25">
      <c r="A231" s="5" t="s">
        <v>19</v>
      </c>
      <c r="B231" s="3" t="s">
        <v>912</v>
      </c>
      <c r="C231" s="6" t="s">
        <v>911</v>
      </c>
      <c r="D231" s="3" t="s">
        <v>90</v>
      </c>
      <c r="K231" s="25">
        <f t="shared" si="4"/>
        <v>1</v>
      </c>
    </row>
    <row r="232" spans="1:11" ht="15.75" x14ac:dyDescent="0.25">
      <c r="A232" s="5" t="s">
        <v>19</v>
      </c>
      <c r="B232" s="3" t="s">
        <v>893</v>
      </c>
      <c r="C232" s="6" t="s">
        <v>343</v>
      </c>
      <c r="D232" s="3" t="s">
        <v>55</v>
      </c>
      <c r="K232" s="25">
        <f t="shared" si="4"/>
        <v>1</v>
      </c>
    </row>
    <row r="233" spans="1:11" ht="15.75" x14ac:dyDescent="0.25">
      <c r="A233" s="5" t="s">
        <v>19</v>
      </c>
      <c r="B233" s="3" t="s">
        <v>894</v>
      </c>
      <c r="C233" s="6" t="s">
        <v>344</v>
      </c>
      <c r="D233" s="3" t="s">
        <v>36</v>
      </c>
      <c r="K233" s="25">
        <f t="shared" si="4"/>
        <v>1</v>
      </c>
    </row>
    <row r="234" spans="1:11" ht="15.75" x14ac:dyDescent="0.25">
      <c r="A234" s="5" t="s">
        <v>19</v>
      </c>
      <c r="B234" s="3" t="s">
        <v>1052</v>
      </c>
      <c r="C234" s="18" t="s">
        <v>593</v>
      </c>
      <c r="D234" s="3" t="s">
        <v>562</v>
      </c>
      <c r="K234" s="25">
        <f t="shared" si="4"/>
        <v>1</v>
      </c>
    </row>
    <row r="235" spans="1:11" ht="15.75" x14ac:dyDescent="0.25">
      <c r="A235" s="5" t="s">
        <v>19</v>
      </c>
      <c r="B235" s="3" t="s">
        <v>895</v>
      </c>
      <c r="C235" s="6" t="s">
        <v>345</v>
      </c>
      <c r="D235" s="3" t="s">
        <v>60</v>
      </c>
      <c r="K235" s="25">
        <f t="shared" si="4"/>
        <v>2</v>
      </c>
    </row>
    <row r="236" spans="1:11" ht="15.75" x14ac:dyDescent="0.25">
      <c r="A236" s="5" t="s">
        <v>19</v>
      </c>
      <c r="B236" s="3" t="s">
        <v>896</v>
      </c>
      <c r="C236" s="6" t="s">
        <v>346</v>
      </c>
      <c r="D236" s="3" t="s">
        <v>55</v>
      </c>
      <c r="K236" s="25">
        <f t="shared" si="4"/>
        <v>1</v>
      </c>
    </row>
    <row r="237" spans="1:11" ht="15.75" x14ac:dyDescent="0.25">
      <c r="A237" s="5" t="s">
        <v>19</v>
      </c>
      <c r="B237" s="3" t="s">
        <v>621</v>
      </c>
      <c r="C237" s="6" t="s">
        <v>622</v>
      </c>
      <c r="D237" s="20" t="s">
        <v>690</v>
      </c>
      <c r="K237" s="25">
        <f t="shared" si="4"/>
        <v>2</v>
      </c>
    </row>
    <row r="238" spans="1:11" ht="15.75" x14ac:dyDescent="0.25">
      <c r="A238" s="5" t="s">
        <v>19</v>
      </c>
      <c r="B238" s="3" t="s">
        <v>626</v>
      </c>
      <c r="C238" s="6" t="s">
        <v>627</v>
      </c>
      <c r="D238" s="20">
        <v>45901</v>
      </c>
      <c r="K238" s="25">
        <f t="shared" si="4"/>
        <v>1</v>
      </c>
    </row>
    <row r="239" spans="1:11" ht="15.75" x14ac:dyDescent="0.25">
      <c r="A239" s="5" t="s">
        <v>19</v>
      </c>
      <c r="B239" s="3" t="s">
        <v>897</v>
      </c>
      <c r="C239" s="6" t="s">
        <v>347</v>
      </c>
      <c r="D239" s="3" t="s">
        <v>38</v>
      </c>
      <c r="K239" s="25">
        <f t="shared" si="4"/>
        <v>1</v>
      </c>
    </row>
    <row r="240" spans="1:11" ht="15.75" x14ac:dyDescent="0.25">
      <c r="A240" s="5" t="s">
        <v>19</v>
      </c>
      <c r="B240" s="3" t="s">
        <v>500</v>
      </c>
      <c r="C240" s="6" t="s">
        <v>511</v>
      </c>
      <c r="D240" s="3" t="s">
        <v>487</v>
      </c>
      <c r="K240" s="25">
        <f t="shared" si="4"/>
        <v>1</v>
      </c>
    </row>
    <row r="241" spans="1:11" ht="15.75" x14ac:dyDescent="0.25">
      <c r="A241" s="5" t="s">
        <v>19</v>
      </c>
      <c r="B241" s="3" t="s">
        <v>899</v>
      </c>
      <c r="C241" s="6" t="s">
        <v>157</v>
      </c>
      <c r="D241" s="3" t="s">
        <v>659</v>
      </c>
      <c r="K241" s="25">
        <f t="shared" si="4"/>
        <v>6</v>
      </c>
    </row>
    <row r="242" spans="1:11" ht="15.75" x14ac:dyDescent="0.25">
      <c r="A242" s="5" t="s">
        <v>19</v>
      </c>
      <c r="B242" s="3" t="s">
        <v>900</v>
      </c>
      <c r="C242" s="6" t="s">
        <v>352</v>
      </c>
      <c r="D242" s="3" t="s">
        <v>49</v>
      </c>
      <c r="K242" s="25">
        <f t="shared" si="4"/>
        <v>1</v>
      </c>
    </row>
    <row r="243" spans="1:11" ht="15.75" x14ac:dyDescent="0.25">
      <c r="A243" s="5" t="s">
        <v>19</v>
      </c>
      <c r="B243" s="3" t="s">
        <v>671</v>
      </c>
      <c r="C243" s="6" t="s">
        <v>287</v>
      </c>
      <c r="D243" s="3" t="s">
        <v>672</v>
      </c>
      <c r="K243" s="25">
        <f t="shared" si="4"/>
        <v>3</v>
      </c>
    </row>
    <row r="244" spans="1:11" ht="15.75" x14ac:dyDescent="0.25">
      <c r="A244" s="5" t="s">
        <v>19</v>
      </c>
      <c r="B244" s="3" t="s">
        <v>901</v>
      </c>
      <c r="C244" s="6" t="s">
        <v>353</v>
      </c>
      <c r="D244" s="3" t="s">
        <v>38</v>
      </c>
      <c r="K244" s="25">
        <f t="shared" si="4"/>
        <v>1</v>
      </c>
    </row>
    <row r="245" spans="1:11" ht="15.75" x14ac:dyDescent="0.25">
      <c r="A245" s="5" t="s">
        <v>19</v>
      </c>
      <c r="B245" s="3" t="s">
        <v>1053</v>
      </c>
      <c r="C245" s="6" t="s">
        <v>507</v>
      </c>
      <c r="D245" s="3" t="s">
        <v>566</v>
      </c>
      <c r="K245" s="25">
        <f t="shared" si="4"/>
        <v>2</v>
      </c>
    </row>
    <row r="246" spans="1:11" ht="15.75" x14ac:dyDescent="0.25">
      <c r="A246" s="5" t="s">
        <v>19</v>
      </c>
      <c r="B246" s="3" t="s">
        <v>660</v>
      </c>
      <c r="C246" s="6" t="s">
        <v>661</v>
      </c>
      <c r="D246" s="20">
        <v>45907</v>
      </c>
      <c r="K246" s="25">
        <f t="shared" si="4"/>
        <v>1</v>
      </c>
    </row>
    <row r="247" spans="1:11" ht="15.75" x14ac:dyDescent="0.25">
      <c r="A247" s="5" t="s">
        <v>19</v>
      </c>
      <c r="B247" s="3" t="s">
        <v>902</v>
      </c>
      <c r="C247" s="6" t="s">
        <v>317</v>
      </c>
      <c r="D247" s="3" t="s">
        <v>611</v>
      </c>
      <c r="K247" s="25">
        <f t="shared" si="4"/>
        <v>4</v>
      </c>
    </row>
    <row r="248" spans="1:11" ht="15.75" x14ac:dyDescent="0.25">
      <c r="A248" s="5" t="s">
        <v>19</v>
      </c>
      <c r="B248" s="3" t="s">
        <v>903</v>
      </c>
      <c r="C248" s="6" t="s">
        <v>354</v>
      </c>
      <c r="D248" s="3" t="s">
        <v>101</v>
      </c>
      <c r="K248" s="25">
        <f t="shared" si="4"/>
        <v>6</v>
      </c>
    </row>
    <row r="249" spans="1:11" ht="15.75" x14ac:dyDescent="0.25">
      <c r="A249" s="5" t="s">
        <v>19</v>
      </c>
      <c r="B249" s="3" t="s">
        <v>904</v>
      </c>
      <c r="C249" s="6" t="s">
        <v>355</v>
      </c>
      <c r="D249" s="3" t="s">
        <v>602</v>
      </c>
      <c r="K249" s="25">
        <f t="shared" si="4"/>
        <v>3</v>
      </c>
    </row>
    <row r="250" spans="1:11" ht="15.75" x14ac:dyDescent="0.25">
      <c r="A250" s="5" t="s">
        <v>19</v>
      </c>
      <c r="B250" s="3" t="s">
        <v>1054</v>
      </c>
      <c r="C250" s="6" t="s">
        <v>503</v>
      </c>
      <c r="D250" s="3" t="s">
        <v>566</v>
      </c>
      <c r="K250" s="25">
        <f t="shared" ref="K250:K311" si="5">LEN(D250)-LEN(SUBSTITUTE(D250,",",""))+1</f>
        <v>2</v>
      </c>
    </row>
    <row r="251" spans="1:11" ht="15.75" x14ac:dyDescent="0.25">
      <c r="A251" s="5" t="s">
        <v>19</v>
      </c>
      <c r="B251" s="3" t="s">
        <v>668</v>
      </c>
      <c r="C251" s="6" t="s">
        <v>669</v>
      </c>
      <c r="D251" s="3" t="s">
        <v>670</v>
      </c>
      <c r="K251" s="25">
        <f t="shared" si="5"/>
        <v>5</v>
      </c>
    </row>
    <row r="252" spans="1:11" ht="15.75" x14ac:dyDescent="0.25">
      <c r="A252" s="5" t="s">
        <v>19</v>
      </c>
      <c r="B252" s="3" t="s">
        <v>905</v>
      </c>
      <c r="C252" s="6" t="s">
        <v>367</v>
      </c>
      <c r="D252" s="3" t="s">
        <v>140</v>
      </c>
      <c r="K252" s="25">
        <f t="shared" si="5"/>
        <v>9</v>
      </c>
    </row>
    <row r="253" spans="1:11" ht="15.75" x14ac:dyDescent="0.25">
      <c r="A253" s="5" t="s">
        <v>19</v>
      </c>
      <c r="B253" s="3" t="s">
        <v>906</v>
      </c>
      <c r="C253" s="6" t="s">
        <v>356</v>
      </c>
      <c r="D253" s="3" t="s">
        <v>105</v>
      </c>
      <c r="K253" s="25">
        <f t="shared" si="5"/>
        <v>4</v>
      </c>
    </row>
    <row r="254" spans="1:11" ht="15.75" x14ac:dyDescent="0.25">
      <c r="A254" s="5" t="s">
        <v>19</v>
      </c>
      <c r="B254" s="3" t="s">
        <v>907</v>
      </c>
      <c r="C254" s="6" t="s">
        <v>357</v>
      </c>
      <c r="D254" s="3" t="s">
        <v>55</v>
      </c>
      <c r="K254" s="25">
        <f t="shared" si="5"/>
        <v>1</v>
      </c>
    </row>
    <row r="255" spans="1:11" ht="15.75" x14ac:dyDescent="0.25">
      <c r="A255" s="5" t="s">
        <v>19</v>
      </c>
      <c r="B255" s="3" t="s">
        <v>908</v>
      </c>
      <c r="C255" s="6" t="s">
        <v>30</v>
      </c>
      <c r="D255" s="3" t="s">
        <v>163</v>
      </c>
      <c r="K255" s="25">
        <f t="shared" si="5"/>
        <v>10</v>
      </c>
    </row>
    <row r="256" spans="1:11" ht="15.75" x14ac:dyDescent="0.25">
      <c r="A256" s="5" t="s">
        <v>19</v>
      </c>
      <c r="B256" s="3" t="s">
        <v>909</v>
      </c>
      <c r="C256" s="6" t="s">
        <v>358</v>
      </c>
      <c r="D256" s="3" t="s">
        <v>31</v>
      </c>
      <c r="K256" s="25">
        <f t="shared" si="5"/>
        <v>2</v>
      </c>
    </row>
    <row r="257" spans="1:11" ht="15.75" x14ac:dyDescent="0.25">
      <c r="A257" s="5" t="s">
        <v>19</v>
      </c>
      <c r="B257" s="3" t="s">
        <v>59</v>
      </c>
      <c r="C257" s="6" t="s">
        <v>363</v>
      </c>
      <c r="D257" s="3" t="s">
        <v>58</v>
      </c>
      <c r="K257" s="25">
        <f t="shared" si="5"/>
        <v>1</v>
      </c>
    </row>
    <row r="258" spans="1:11" ht="15.75" x14ac:dyDescent="0.25">
      <c r="A258" s="5" t="s">
        <v>19</v>
      </c>
      <c r="B258" s="3" t="s">
        <v>910</v>
      </c>
      <c r="C258" s="6" t="s">
        <v>359</v>
      </c>
      <c r="D258" s="3" t="s">
        <v>585</v>
      </c>
      <c r="K258" s="25">
        <f t="shared" si="5"/>
        <v>5</v>
      </c>
    </row>
    <row r="259" spans="1:11" ht="15.75" x14ac:dyDescent="0.25">
      <c r="A259" s="5" t="s">
        <v>19</v>
      </c>
      <c r="B259" s="3" t="s">
        <v>913</v>
      </c>
      <c r="C259" s="6" t="s">
        <v>360</v>
      </c>
      <c r="D259" s="3" t="s">
        <v>35</v>
      </c>
      <c r="K259" s="25">
        <f t="shared" si="5"/>
        <v>1</v>
      </c>
    </row>
    <row r="260" spans="1:11" ht="15.75" x14ac:dyDescent="0.25">
      <c r="A260" s="5" t="s">
        <v>19</v>
      </c>
      <c r="B260" s="3" t="s">
        <v>1055</v>
      </c>
      <c r="C260" s="6" t="s">
        <v>150</v>
      </c>
      <c r="D260" s="3" t="s">
        <v>674</v>
      </c>
      <c r="K260" s="25">
        <f t="shared" si="5"/>
        <v>2</v>
      </c>
    </row>
    <row r="261" spans="1:11" ht="15.75" x14ac:dyDescent="0.25">
      <c r="A261" s="5" t="s">
        <v>19</v>
      </c>
      <c r="B261" s="3" t="s">
        <v>914</v>
      </c>
      <c r="C261" s="6" t="s">
        <v>361</v>
      </c>
      <c r="D261" s="3" t="s">
        <v>37</v>
      </c>
      <c r="K261" s="25">
        <f t="shared" si="5"/>
        <v>2</v>
      </c>
    </row>
    <row r="262" spans="1:11" ht="15.75" x14ac:dyDescent="0.25">
      <c r="A262" s="5" t="s">
        <v>19</v>
      </c>
      <c r="B262" s="3" t="s">
        <v>84</v>
      </c>
      <c r="C262" s="6" t="s">
        <v>362</v>
      </c>
      <c r="D262" s="3" t="s">
        <v>85</v>
      </c>
      <c r="K262" s="25">
        <f t="shared" si="5"/>
        <v>1</v>
      </c>
    </row>
    <row r="263" spans="1:11" ht="15.75" x14ac:dyDescent="0.25">
      <c r="A263" s="5" t="s">
        <v>19</v>
      </c>
      <c r="B263" s="3" t="s">
        <v>915</v>
      </c>
      <c r="C263" s="6" t="s">
        <v>363</v>
      </c>
      <c r="D263" s="3" t="s">
        <v>92</v>
      </c>
      <c r="K263" s="25">
        <f t="shared" si="5"/>
        <v>4</v>
      </c>
    </row>
    <row r="264" spans="1:11" ht="15.75" x14ac:dyDescent="0.25">
      <c r="A264" s="5" t="s">
        <v>19</v>
      </c>
      <c r="B264" s="3" t="s">
        <v>916</v>
      </c>
      <c r="C264" s="6" t="s">
        <v>368</v>
      </c>
      <c r="D264" s="3" t="s">
        <v>38</v>
      </c>
      <c r="K264" s="25">
        <f t="shared" si="5"/>
        <v>1</v>
      </c>
    </row>
    <row r="265" spans="1:11" ht="15.75" x14ac:dyDescent="0.25">
      <c r="A265" s="5" t="s">
        <v>19</v>
      </c>
      <c r="B265" s="3" t="s">
        <v>1056</v>
      </c>
      <c r="C265" s="6" t="s">
        <v>364</v>
      </c>
      <c r="D265" s="3" t="s">
        <v>93</v>
      </c>
      <c r="K265" s="25">
        <f t="shared" si="5"/>
        <v>1</v>
      </c>
    </row>
    <row r="266" spans="1:11" ht="15.75" x14ac:dyDescent="0.25">
      <c r="A266" s="5" t="s">
        <v>19</v>
      </c>
      <c r="B266" s="3" t="s">
        <v>917</v>
      </c>
      <c r="C266" s="6" t="s">
        <v>365</v>
      </c>
      <c r="D266" s="3" t="s">
        <v>564</v>
      </c>
      <c r="K266" s="25">
        <f t="shared" si="5"/>
        <v>8</v>
      </c>
    </row>
    <row r="267" spans="1:11" ht="15.75" x14ac:dyDescent="0.25">
      <c r="A267" s="5" t="s">
        <v>19</v>
      </c>
      <c r="B267" s="3" t="s">
        <v>984</v>
      </c>
      <c r="C267" s="6" t="s">
        <v>918</v>
      </c>
      <c r="D267" s="3" t="s">
        <v>152</v>
      </c>
      <c r="K267" s="25">
        <f t="shared" si="5"/>
        <v>2</v>
      </c>
    </row>
    <row r="268" spans="1:11" ht="15.75" x14ac:dyDescent="0.25">
      <c r="A268" s="5" t="s">
        <v>19</v>
      </c>
      <c r="B268" s="3" t="s">
        <v>679</v>
      </c>
      <c r="C268" s="6" t="s">
        <v>366</v>
      </c>
      <c r="D268" s="3" t="s">
        <v>680</v>
      </c>
      <c r="K268" s="25">
        <f t="shared" si="5"/>
        <v>4</v>
      </c>
    </row>
    <row r="269" spans="1:11" ht="15.75" x14ac:dyDescent="0.25">
      <c r="A269" s="5" t="s">
        <v>19</v>
      </c>
      <c r="B269" s="3" t="s">
        <v>919</v>
      </c>
      <c r="C269" s="6" t="s">
        <v>369</v>
      </c>
      <c r="D269" s="3" t="s">
        <v>28</v>
      </c>
      <c r="K269" s="25">
        <f t="shared" si="5"/>
        <v>2</v>
      </c>
    </row>
    <row r="270" spans="1:11" ht="15.75" x14ac:dyDescent="0.25">
      <c r="A270" s="5" t="s">
        <v>19</v>
      </c>
      <c r="B270" s="3" t="s">
        <v>920</v>
      </c>
      <c r="C270" s="6" t="s">
        <v>360</v>
      </c>
      <c r="D270" s="3" t="s">
        <v>673</v>
      </c>
      <c r="K270" s="25">
        <f t="shared" si="5"/>
        <v>4</v>
      </c>
    </row>
    <row r="271" spans="1:11" ht="15.75" x14ac:dyDescent="0.25">
      <c r="A271" s="5" t="s">
        <v>19</v>
      </c>
      <c r="B271" s="3" t="s">
        <v>921</v>
      </c>
      <c r="C271" s="6" t="s">
        <v>370</v>
      </c>
      <c r="D271" s="3" t="s">
        <v>618</v>
      </c>
      <c r="K271" s="25">
        <f t="shared" si="5"/>
        <v>2</v>
      </c>
    </row>
    <row r="272" spans="1:11" ht="15.75" x14ac:dyDescent="0.25">
      <c r="A272" s="5" t="s">
        <v>19</v>
      </c>
      <c r="B272" s="3" t="s">
        <v>922</v>
      </c>
      <c r="C272" s="6" t="s">
        <v>371</v>
      </c>
      <c r="D272" s="3" t="s">
        <v>614</v>
      </c>
      <c r="K272" s="25">
        <f t="shared" si="5"/>
        <v>5</v>
      </c>
    </row>
    <row r="273" spans="1:11" ht="15.75" x14ac:dyDescent="0.25">
      <c r="A273" s="5" t="s">
        <v>19</v>
      </c>
      <c r="B273" s="3" t="s">
        <v>923</v>
      </c>
      <c r="C273" s="6" t="s">
        <v>372</v>
      </c>
      <c r="D273" s="3" t="s">
        <v>38</v>
      </c>
      <c r="K273" s="25">
        <f t="shared" si="5"/>
        <v>1</v>
      </c>
    </row>
    <row r="274" spans="1:11" ht="15.75" x14ac:dyDescent="0.25">
      <c r="A274" s="5" t="s">
        <v>19</v>
      </c>
      <c r="B274" s="3" t="s">
        <v>924</v>
      </c>
      <c r="C274" s="6" t="s">
        <v>373</v>
      </c>
      <c r="D274" s="3" t="s">
        <v>38</v>
      </c>
      <c r="K274" s="25">
        <f t="shared" si="5"/>
        <v>1</v>
      </c>
    </row>
    <row r="275" spans="1:11" ht="15.75" x14ac:dyDescent="0.25">
      <c r="A275" s="5" t="s">
        <v>19</v>
      </c>
      <c r="B275" s="3" t="s">
        <v>925</v>
      </c>
      <c r="C275" s="6" t="s">
        <v>374</v>
      </c>
      <c r="D275" s="3" t="s">
        <v>38</v>
      </c>
      <c r="K275" s="25">
        <f t="shared" si="5"/>
        <v>1</v>
      </c>
    </row>
    <row r="276" spans="1:11" ht="15.75" x14ac:dyDescent="0.25">
      <c r="A276" s="5" t="s">
        <v>19</v>
      </c>
      <c r="B276" s="3" t="s">
        <v>927</v>
      </c>
      <c r="C276" s="6" t="s">
        <v>376</v>
      </c>
      <c r="D276" s="3" t="s">
        <v>39</v>
      </c>
      <c r="K276" s="25">
        <f t="shared" si="5"/>
        <v>2</v>
      </c>
    </row>
    <row r="277" spans="1:11" ht="15.75" x14ac:dyDescent="0.25">
      <c r="A277" s="5" t="s">
        <v>19</v>
      </c>
      <c r="B277" s="3" t="s">
        <v>928</v>
      </c>
      <c r="C277" s="6" t="s">
        <v>375</v>
      </c>
      <c r="D277" s="3" t="s">
        <v>926</v>
      </c>
      <c r="K277" s="25">
        <f t="shared" si="5"/>
        <v>4</v>
      </c>
    </row>
    <row r="278" spans="1:11" ht="15.75" x14ac:dyDescent="0.25">
      <c r="A278" s="5" t="s">
        <v>19</v>
      </c>
      <c r="B278" s="3" t="s">
        <v>653</v>
      </c>
      <c r="C278" s="6" t="s">
        <v>654</v>
      </c>
      <c r="D278" s="20">
        <v>45907</v>
      </c>
      <c r="K278" s="25">
        <f t="shared" si="5"/>
        <v>1</v>
      </c>
    </row>
    <row r="279" spans="1:11" ht="15.75" x14ac:dyDescent="0.25">
      <c r="A279" s="5" t="s">
        <v>19</v>
      </c>
      <c r="B279" s="3" t="s">
        <v>683</v>
      </c>
      <c r="C279" s="6" t="s">
        <v>684</v>
      </c>
      <c r="D279" s="20">
        <v>45907</v>
      </c>
      <c r="K279" s="25">
        <f t="shared" si="5"/>
        <v>1</v>
      </c>
    </row>
    <row r="280" spans="1:11" ht="15.75" x14ac:dyDescent="0.25">
      <c r="A280" s="5" t="s">
        <v>19</v>
      </c>
      <c r="B280" s="3" t="s">
        <v>929</v>
      </c>
      <c r="C280" s="6" t="s">
        <v>377</v>
      </c>
      <c r="D280" s="3" t="s">
        <v>63</v>
      </c>
      <c r="K280" s="25">
        <f t="shared" si="5"/>
        <v>1</v>
      </c>
    </row>
    <row r="281" spans="1:11" ht="15.75" x14ac:dyDescent="0.25">
      <c r="A281" s="5" t="s">
        <v>19</v>
      </c>
      <c r="B281" s="3" t="s">
        <v>930</v>
      </c>
      <c r="C281" s="6" t="s">
        <v>378</v>
      </c>
      <c r="D281" s="3" t="s">
        <v>38</v>
      </c>
      <c r="K281" s="25">
        <f t="shared" si="5"/>
        <v>1</v>
      </c>
    </row>
    <row r="282" spans="1:11" ht="15.75" x14ac:dyDescent="0.25">
      <c r="A282" s="5" t="s">
        <v>19</v>
      </c>
      <c r="B282" s="3" t="s">
        <v>931</v>
      </c>
      <c r="C282" s="6" t="s">
        <v>380</v>
      </c>
      <c r="D282" s="3" t="s">
        <v>38</v>
      </c>
      <c r="K282" s="25">
        <f t="shared" si="5"/>
        <v>1</v>
      </c>
    </row>
    <row r="283" spans="1:11" ht="15.75" x14ac:dyDescent="0.25">
      <c r="A283" s="5" t="s">
        <v>19</v>
      </c>
      <c r="B283" s="3" t="s">
        <v>1057</v>
      </c>
      <c r="C283" s="6" t="s">
        <v>496</v>
      </c>
      <c r="D283" s="3" t="s">
        <v>487</v>
      </c>
      <c r="K283" s="25">
        <f t="shared" si="5"/>
        <v>1</v>
      </c>
    </row>
    <row r="284" spans="1:11" ht="15.75" x14ac:dyDescent="0.25">
      <c r="A284" s="5" t="s">
        <v>19</v>
      </c>
      <c r="B284" s="3" t="s">
        <v>135</v>
      </c>
      <c r="C284" s="6" t="s">
        <v>381</v>
      </c>
      <c r="D284" s="3" t="s">
        <v>134</v>
      </c>
      <c r="K284" s="25">
        <f t="shared" si="5"/>
        <v>1</v>
      </c>
    </row>
    <row r="285" spans="1:11" ht="15.75" x14ac:dyDescent="0.25">
      <c r="A285" s="5" t="s">
        <v>19</v>
      </c>
      <c r="B285" s="3" t="s">
        <v>1058</v>
      </c>
      <c r="C285" s="6" t="s">
        <v>299</v>
      </c>
      <c r="D285" s="3" t="s">
        <v>124</v>
      </c>
      <c r="K285" s="25">
        <f t="shared" si="5"/>
        <v>4</v>
      </c>
    </row>
    <row r="286" spans="1:11" ht="15.75" x14ac:dyDescent="0.25">
      <c r="A286" s="5" t="s">
        <v>19</v>
      </c>
      <c r="B286" s="3" t="s">
        <v>932</v>
      </c>
      <c r="C286" s="6" t="s">
        <v>379</v>
      </c>
      <c r="D286" s="3" t="s">
        <v>38</v>
      </c>
      <c r="K286" s="25">
        <f t="shared" si="5"/>
        <v>1</v>
      </c>
    </row>
    <row r="287" spans="1:11" ht="15.75" x14ac:dyDescent="0.25">
      <c r="A287" s="5" t="s">
        <v>19</v>
      </c>
      <c r="B287" s="3" t="s">
        <v>709</v>
      </c>
      <c r="C287" s="6" t="s">
        <v>315</v>
      </c>
      <c r="D287" s="3" t="s">
        <v>710</v>
      </c>
      <c r="K287" s="25">
        <f t="shared" si="5"/>
        <v>2</v>
      </c>
    </row>
    <row r="288" spans="1:11" ht="15.75" x14ac:dyDescent="0.25">
      <c r="A288" s="5" t="s">
        <v>19</v>
      </c>
      <c r="B288" s="3" t="s">
        <v>934</v>
      </c>
      <c r="C288" s="6" t="s">
        <v>341</v>
      </c>
      <c r="D288" s="3" t="s">
        <v>933</v>
      </c>
      <c r="K288" s="25">
        <f t="shared" si="5"/>
        <v>4</v>
      </c>
    </row>
    <row r="289" spans="1:11" ht="15.75" x14ac:dyDescent="0.25">
      <c r="A289" s="5" t="s">
        <v>19</v>
      </c>
      <c r="B289" s="3" t="s">
        <v>935</v>
      </c>
      <c r="C289" s="6" t="s">
        <v>26</v>
      </c>
      <c r="D289" s="3" t="s">
        <v>116</v>
      </c>
      <c r="K289" s="25">
        <f t="shared" si="5"/>
        <v>3</v>
      </c>
    </row>
    <row r="290" spans="1:11" ht="15.75" x14ac:dyDescent="0.25">
      <c r="A290" s="5" t="s">
        <v>19</v>
      </c>
      <c r="B290" s="3" t="s">
        <v>1059</v>
      </c>
      <c r="C290" s="18" t="s">
        <v>297</v>
      </c>
      <c r="D290" s="3" t="s">
        <v>562</v>
      </c>
      <c r="E290" s="2" t="s">
        <v>595</v>
      </c>
      <c r="K290" s="25">
        <f t="shared" si="5"/>
        <v>1</v>
      </c>
    </row>
    <row r="291" spans="1:11" ht="15.75" x14ac:dyDescent="0.25">
      <c r="A291" s="5" t="s">
        <v>19</v>
      </c>
      <c r="B291" s="3" t="s">
        <v>936</v>
      </c>
      <c r="C291" s="6" t="s">
        <v>382</v>
      </c>
      <c r="D291" s="3" t="s">
        <v>83</v>
      </c>
      <c r="K291" s="25">
        <f t="shared" si="5"/>
        <v>2</v>
      </c>
    </row>
    <row r="292" spans="1:11" ht="15.75" x14ac:dyDescent="0.25">
      <c r="A292" s="5" t="s">
        <v>19</v>
      </c>
      <c r="B292" s="3" t="s">
        <v>937</v>
      </c>
      <c r="C292" s="6" t="s">
        <v>383</v>
      </c>
      <c r="D292" s="3" t="s">
        <v>144</v>
      </c>
      <c r="K292" s="25">
        <f t="shared" si="5"/>
        <v>2</v>
      </c>
    </row>
    <row r="293" spans="1:11" ht="15.75" x14ac:dyDescent="0.25">
      <c r="A293" s="5" t="s">
        <v>19</v>
      </c>
      <c r="B293" s="3" t="s">
        <v>385</v>
      </c>
      <c r="C293" s="6" t="s">
        <v>384</v>
      </c>
      <c r="D293" s="3" t="s">
        <v>628</v>
      </c>
      <c r="K293" s="25">
        <f t="shared" si="5"/>
        <v>2</v>
      </c>
    </row>
    <row r="294" spans="1:11" ht="15.75" x14ac:dyDescent="0.25">
      <c r="A294" s="5" t="s">
        <v>19</v>
      </c>
      <c r="B294" s="3" t="s">
        <v>989</v>
      </c>
      <c r="C294" s="6" t="s">
        <v>504</v>
      </c>
      <c r="D294" s="3" t="s">
        <v>566</v>
      </c>
      <c r="K294" s="25">
        <f t="shared" si="5"/>
        <v>2</v>
      </c>
    </row>
    <row r="295" spans="1:11" ht="15.75" x14ac:dyDescent="0.25">
      <c r="A295" s="5" t="s">
        <v>19</v>
      </c>
      <c r="B295" s="3" t="s">
        <v>938</v>
      </c>
      <c r="C295" s="6" t="s">
        <v>386</v>
      </c>
      <c r="D295" s="3" t="s">
        <v>603</v>
      </c>
      <c r="K295" s="25">
        <f t="shared" si="5"/>
        <v>7</v>
      </c>
    </row>
    <row r="296" spans="1:11" ht="15.75" x14ac:dyDescent="0.25">
      <c r="A296" s="5" t="s">
        <v>19</v>
      </c>
      <c r="B296" s="3" t="s">
        <v>939</v>
      </c>
      <c r="C296" s="6" t="s">
        <v>387</v>
      </c>
      <c r="D296" s="3" t="s">
        <v>72</v>
      </c>
      <c r="K296" s="25">
        <f t="shared" si="5"/>
        <v>2</v>
      </c>
    </row>
    <row r="297" spans="1:11" ht="15.75" x14ac:dyDescent="0.25">
      <c r="A297" s="5" t="s">
        <v>19</v>
      </c>
      <c r="B297" s="3" t="s">
        <v>990</v>
      </c>
      <c r="C297" s="18" t="s">
        <v>588</v>
      </c>
      <c r="D297" s="3" t="s">
        <v>623</v>
      </c>
      <c r="K297" s="25">
        <f t="shared" si="5"/>
        <v>2</v>
      </c>
    </row>
    <row r="298" spans="1:11" ht="15.75" x14ac:dyDescent="0.25">
      <c r="A298" s="5" t="s">
        <v>19</v>
      </c>
      <c r="B298" s="3" t="s">
        <v>940</v>
      </c>
      <c r="C298" s="6" t="s">
        <v>388</v>
      </c>
      <c r="D298" s="3" t="s">
        <v>38</v>
      </c>
      <c r="K298" s="25">
        <f t="shared" si="5"/>
        <v>1</v>
      </c>
    </row>
    <row r="299" spans="1:11" ht="15.75" x14ac:dyDescent="0.25">
      <c r="A299" s="5" t="s">
        <v>19</v>
      </c>
      <c r="B299" s="3" t="s">
        <v>941</v>
      </c>
      <c r="C299" s="6" t="s">
        <v>390</v>
      </c>
      <c r="D299" s="3" t="s">
        <v>38</v>
      </c>
      <c r="K299" s="25">
        <f t="shared" si="5"/>
        <v>1</v>
      </c>
    </row>
    <row r="300" spans="1:11" ht="15.75" x14ac:dyDescent="0.25">
      <c r="A300" s="5" t="s">
        <v>19</v>
      </c>
      <c r="B300" s="3" t="s">
        <v>702</v>
      </c>
      <c r="C300" s="6" t="s">
        <v>703</v>
      </c>
      <c r="D300" s="3" t="s">
        <v>704</v>
      </c>
      <c r="K300" s="25">
        <f t="shared" si="5"/>
        <v>2</v>
      </c>
    </row>
    <row r="301" spans="1:11" ht="15.75" x14ac:dyDescent="0.25">
      <c r="A301" s="5" t="s">
        <v>19</v>
      </c>
      <c r="B301" s="3" t="s">
        <v>942</v>
      </c>
      <c r="C301" s="6" t="s">
        <v>346</v>
      </c>
      <c r="D301" s="3" t="s">
        <v>104</v>
      </c>
      <c r="K301" s="25">
        <f t="shared" si="5"/>
        <v>3</v>
      </c>
    </row>
    <row r="302" spans="1:11" ht="15.75" x14ac:dyDescent="0.25">
      <c r="A302" s="5" t="s">
        <v>19</v>
      </c>
      <c r="B302" s="3" t="s">
        <v>696</v>
      </c>
      <c r="C302" s="6" t="s">
        <v>268</v>
      </c>
      <c r="D302" s="3" t="s">
        <v>697</v>
      </c>
      <c r="K302" s="25">
        <f t="shared" si="5"/>
        <v>3</v>
      </c>
    </row>
    <row r="303" spans="1:11" ht="15.75" x14ac:dyDescent="0.25">
      <c r="A303" s="5" t="s">
        <v>19</v>
      </c>
      <c r="B303" s="3" t="s">
        <v>991</v>
      </c>
      <c r="C303" s="6" t="s">
        <v>391</v>
      </c>
      <c r="D303" s="3" t="s">
        <v>136</v>
      </c>
      <c r="K303" s="25">
        <f t="shared" si="5"/>
        <v>1</v>
      </c>
    </row>
    <row r="304" spans="1:11" ht="15.75" x14ac:dyDescent="0.25">
      <c r="A304" s="5" t="s">
        <v>19</v>
      </c>
      <c r="B304" s="3" t="s">
        <v>943</v>
      </c>
      <c r="C304" s="6" t="s">
        <v>392</v>
      </c>
      <c r="D304" s="3" t="s">
        <v>38</v>
      </c>
      <c r="K304" s="25">
        <f t="shared" si="5"/>
        <v>1</v>
      </c>
    </row>
    <row r="305" spans="1:11" ht="15.75" x14ac:dyDescent="0.25">
      <c r="A305" s="5" t="s">
        <v>19</v>
      </c>
      <c r="B305" s="3" t="s">
        <v>992</v>
      </c>
      <c r="C305" s="6" t="s">
        <v>502</v>
      </c>
      <c r="D305" s="3" t="s">
        <v>689</v>
      </c>
      <c r="K305" s="25">
        <f t="shared" si="5"/>
        <v>3</v>
      </c>
    </row>
    <row r="306" spans="1:11" ht="15.75" x14ac:dyDescent="0.25">
      <c r="A306" s="5" t="s">
        <v>19</v>
      </c>
      <c r="B306" s="3" t="s">
        <v>944</v>
      </c>
      <c r="C306" s="6" t="s">
        <v>393</v>
      </c>
      <c r="D306" s="3" t="s">
        <v>33</v>
      </c>
      <c r="K306" s="25">
        <f t="shared" si="5"/>
        <v>1</v>
      </c>
    </row>
    <row r="307" spans="1:11" ht="15.75" x14ac:dyDescent="0.25">
      <c r="A307" s="5" t="s">
        <v>19</v>
      </c>
      <c r="B307" s="3" t="s">
        <v>993</v>
      </c>
      <c r="C307" s="6" t="s">
        <v>508</v>
      </c>
      <c r="D307" s="3" t="s">
        <v>487</v>
      </c>
      <c r="K307" s="25">
        <f t="shared" si="5"/>
        <v>1</v>
      </c>
    </row>
    <row r="308" spans="1:11" ht="15.75" x14ac:dyDescent="0.25">
      <c r="A308" s="5" t="s">
        <v>19</v>
      </c>
      <c r="B308" s="3" t="s">
        <v>994</v>
      </c>
      <c r="C308" s="6" t="s">
        <v>285</v>
      </c>
      <c r="D308" s="3" t="s">
        <v>146</v>
      </c>
      <c r="K308" s="25">
        <f t="shared" si="5"/>
        <v>1</v>
      </c>
    </row>
    <row r="309" spans="1:11" ht="15.75" x14ac:dyDescent="0.25">
      <c r="A309" s="5" t="s">
        <v>19</v>
      </c>
      <c r="B309" s="3" t="s">
        <v>945</v>
      </c>
      <c r="C309" s="6" t="s">
        <v>394</v>
      </c>
      <c r="D309" s="3" t="s">
        <v>34</v>
      </c>
      <c r="K309" s="25">
        <f t="shared" si="5"/>
        <v>2</v>
      </c>
    </row>
    <row r="310" spans="1:11" ht="15.75" x14ac:dyDescent="0.25">
      <c r="A310" s="5" t="s">
        <v>19</v>
      </c>
      <c r="B310" s="3" t="s">
        <v>995</v>
      </c>
      <c r="C310" s="6" t="s">
        <v>300</v>
      </c>
      <c r="D310" s="3" t="s">
        <v>146</v>
      </c>
      <c r="K310" s="25">
        <f t="shared" si="5"/>
        <v>1</v>
      </c>
    </row>
    <row r="311" spans="1:11" ht="15.75" x14ac:dyDescent="0.25">
      <c r="A311" s="5" t="s">
        <v>19</v>
      </c>
      <c r="B311" s="3" t="s">
        <v>946</v>
      </c>
      <c r="C311" s="6" t="s">
        <v>395</v>
      </c>
      <c r="D311" s="3" t="s">
        <v>572</v>
      </c>
      <c r="K311" s="25">
        <f t="shared" si="5"/>
        <v>4</v>
      </c>
    </row>
    <row r="312" spans="1:11" ht="15.75" x14ac:dyDescent="0.25">
      <c r="A312" s="5" t="s">
        <v>19</v>
      </c>
      <c r="B312" s="3" t="s">
        <v>947</v>
      </c>
      <c r="C312" s="6" t="s">
        <v>396</v>
      </c>
      <c r="D312" s="3" t="s">
        <v>64</v>
      </c>
      <c r="K312" s="25">
        <f t="shared" ref="K312:K381" si="6">LEN(D312)-LEN(SUBSTITUTE(D312,",",""))+1</f>
        <v>5</v>
      </c>
    </row>
    <row r="313" spans="1:11" ht="15.75" x14ac:dyDescent="0.25">
      <c r="A313" s="5" t="s">
        <v>19</v>
      </c>
      <c r="B313" s="3" t="s">
        <v>948</v>
      </c>
      <c r="C313" s="6" t="s">
        <v>397</v>
      </c>
      <c r="D313" s="3" t="s">
        <v>38</v>
      </c>
      <c r="K313" s="25">
        <f t="shared" si="6"/>
        <v>1</v>
      </c>
    </row>
    <row r="314" spans="1:11" ht="15.75" x14ac:dyDescent="0.25">
      <c r="A314" s="5" t="s">
        <v>19</v>
      </c>
      <c r="B314" s="3" t="s">
        <v>949</v>
      </c>
      <c r="C314" s="6" t="s">
        <v>398</v>
      </c>
      <c r="D314" s="3" t="s">
        <v>95</v>
      </c>
      <c r="K314" s="25">
        <f t="shared" si="6"/>
        <v>3</v>
      </c>
    </row>
    <row r="315" spans="1:11" ht="15.75" x14ac:dyDescent="0.25">
      <c r="A315" s="5" t="s">
        <v>19</v>
      </c>
      <c r="B315" s="3" t="s">
        <v>950</v>
      </c>
      <c r="C315" s="6" t="s">
        <v>41</v>
      </c>
      <c r="D315" s="3" t="s">
        <v>497</v>
      </c>
      <c r="K315" s="25">
        <f t="shared" si="6"/>
        <v>3</v>
      </c>
    </row>
    <row r="316" spans="1:11" ht="15.75" x14ac:dyDescent="0.25">
      <c r="A316" s="5" t="s">
        <v>19</v>
      </c>
      <c r="B316" s="3" t="s">
        <v>107</v>
      </c>
      <c r="C316" s="6" t="s">
        <v>399</v>
      </c>
      <c r="D316" s="3" t="s">
        <v>102</v>
      </c>
      <c r="K316" s="25">
        <f t="shared" si="6"/>
        <v>1</v>
      </c>
    </row>
    <row r="317" spans="1:11" ht="15.75" x14ac:dyDescent="0.25">
      <c r="A317" s="5" t="s">
        <v>19</v>
      </c>
      <c r="B317" s="3" t="s">
        <v>996</v>
      </c>
      <c r="C317" s="6" t="s">
        <v>505</v>
      </c>
      <c r="D317" s="3" t="s">
        <v>694</v>
      </c>
      <c r="K317" s="25">
        <f t="shared" si="6"/>
        <v>2</v>
      </c>
    </row>
    <row r="318" spans="1:11" ht="15.75" x14ac:dyDescent="0.25">
      <c r="A318" s="5" t="s">
        <v>19</v>
      </c>
      <c r="B318" s="3" t="s">
        <v>951</v>
      </c>
      <c r="C318" s="6" t="s">
        <v>997</v>
      </c>
      <c r="D318" s="3" t="s">
        <v>160</v>
      </c>
      <c r="K318" s="25">
        <f t="shared" si="6"/>
        <v>5</v>
      </c>
    </row>
    <row r="319" spans="1:11" ht="15.75" x14ac:dyDescent="0.25">
      <c r="A319" s="5" t="s">
        <v>19</v>
      </c>
      <c r="B319" s="3" t="s">
        <v>619</v>
      </c>
      <c r="C319" s="6" t="s">
        <v>620</v>
      </c>
      <c r="D319" s="20">
        <v>45901</v>
      </c>
      <c r="K319" s="25">
        <f t="shared" si="6"/>
        <v>1</v>
      </c>
    </row>
    <row r="320" spans="1:11" ht="15.75" x14ac:dyDescent="0.25">
      <c r="A320" s="5" t="s">
        <v>19</v>
      </c>
      <c r="B320" s="3" t="s">
        <v>952</v>
      </c>
      <c r="C320" s="6" t="s">
        <v>40</v>
      </c>
      <c r="D320" s="3" t="s">
        <v>38</v>
      </c>
      <c r="K320" s="25">
        <f t="shared" si="6"/>
        <v>1</v>
      </c>
    </row>
    <row r="321" spans="1:11" ht="15.75" x14ac:dyDescent="0.25">
      <c r="A321" s="5" t="s">
        <v>19</v>
      </c>
      <c r="B321" s="3" t="s">
        <v>953</v>
      </c>
      <c r="C321" s="6" t="s">
        <v>400</v>
      </c>
      <c r="D321" s="3" t="s">
        <v>570</v>
      </c>
      <c r="K321" s="25">
        <f t="shared" si="6"/>
        <v>2</v>
      </c>
    </row>
    <row r="322" spans="1:11" ht="15.75" x14ac:dyDescent="0.25">
      <c r="A322" s="5" t="s">
        <v>19</v>
      </c>
      <c r="B322" s="3" t="s">
        <v>954</v>
      </c>
      <c r="C322" s="6" t="s">
        <v>401</v>
      </c>
      <c r="D322" s="3" t="s">
        <v>652</v>
      </c>
      <c r="K322" s="25">
        <f t="shared" si="6"/>
        <v>4</v>
      </c>
    </row>
    <row r="323" spans="1:11" ht="15.75" x14ac:dyDescent="0.25">
      <c r="A323" s="5" t="s">
        <v>19</v>
      </c>
      <c r="B323" s="3" t="s">
        <v>955</v>
      </c>
      <c r="C323" s="6" t="s">
        <v>402</v>
      </c>
      <c r="D323" s="3" t="s">
        <v>117</v>
      </c>
      <c r="K323" s="25">
        <f t="shared" si="6"/>
        <v>1</v>
      </c>
    </row>
    <row r="324" spans="1:11" ht="15.75" x14ac:dyDescent="0.25">
      <c r="A324" s="5" t="s">
        <v>19</v>
      </c>
      <c r="B324" s="3" t="s">
        <v>998</v>
      </c>
      <c r="C324" s="18" t="s">
        <v>589</v>
      </c>
      <c r="D324" s="3" t="s">
        <v>562</v>
      </c>
      <c r="K324" s="25">
        <f t="shared" si="6"/>
        <v>1</v>
      </c>
    </row>
    <row r="325" spans="1:11" ht="15.75" x14ac:dyDescent="0.25">
      <c r="A325" s="5" t="s">
        <v>19</v>
      </c>
      <c r="B325" s="3" t="s">
        <v>999</v>
      </c>
      <c r="C325" s="18" t="s">
        <v>591</v>
      </c>
      <c r="D325" s="3" t="s">
        <v>562</v>
      </c>
      <c r="K325" s="25">
        <f t="shared" si="6"/>
        <v>1</v>
      </c>
    </row>
    <row r="326" spans="1:11" ht="15.75" x14ac:dyDescent="0.25">
      <c r="A326" s="5" t="s">
        <v>19</v>
      </c>
      <c r="B326" s="3" t="s">
        <v>956</v>
      </c>
      <c r="C326" s="6" t="s">
        <v>403</v>
      </c>
      <c r="D326" s="3" t="s">
        <v>38</v>
      </c>
      <c r="K326" s="25">
        <f t="shared" si="6"/>
        <v>1</v>
      </c>
    </row>
    <row r="327" spans="1:11" ht="15.75" x14ac:dyDescent="0.25">
      <c r="A327" s="5" t="s">
        <v>19</v>
      </c>
      <c r="B327" s="3" t="s">
        <v>957</v>
      </c>
      <c r="C327" s="6" t="s">
        <v>404</v>
      </c>
      <c r="D327" s="3" t="s">
        <v>58</v>
      </c>
      <c r="K327" s="25">
        <f t="shared" si="6"/>
        <v>1</v>
      </c>
    </row>
    <row r="328" spans="1:11" ht="15.75" x14ac:dyDescent="0.25">
      <c r="A328" s="5" t="s">
        <v>19</v>
      </c>
      <c r="B328" s="3" t="s">
        <v>958</v>
      </c>
      <c r="C328" s="6" t="s">
        <v>405</v>
      </c>
      <c r="D328" s="3" t="s">
        <v>38</v>
      </c>
      <c r="K328" s="25">
        <f t="shared" si="6"/>
        <v>1</v>
      </c>
    </row>
    <row r="329" spans="1:11" ht="15.75" x14ac:dyDescent="0.25">
      <c r="A329" s="5" t="s">
        <v>19</v>
      </c>
      <c r="B329" s="3" t="s">
        <v>959</v>
      </c>
      <c r="C329" s="6" t="s">
        <v>406</v>
      </c>
      <c r="D329" s="3" t="s">
        <v>68</v>
      </c>
      <c r="K329" s="25">
        <f t="shared" si="6"/>
        <v>2</v>
      </c>
    </row>
    <row r="330" spans="1:11" ht="15.75" x14ac:dyDescent="0.25">
      <c r="A330" s="5" t="s">
        <v>19</v>
      </c>
      <c r="B330" s="3" t="s">
        <v>624</v>
      </c>
      <c r="C330" s="6" t="s">
        <v>625</v>
      </c>
      <c r="D330" s="20" t="s">
        <v>690</v>
      </c>
      <c r="K330" s="25">
        <f t="shared" si="6"/>
        <v>2</v>
      </c>
    </row>
    <row r="331" spans="1:11" ht="15.75" x14ac:dyDescent="0.25">
      <c r="A331" s="5" t="s">
        <v>19</v>
      </c>
      <c r="B331" s="3" t="s">
        <v>960</v>
      </c>
      <c r="C331" s="6" t="s">
        <v>407</v>
      </c>
      <c r="D331" s="3" t="s">
        <v>658</v>
      </c>
      <c r="K331" s="25">
        <f t="shared" si="6"/>
        <v>2</v>
      </c>
    </row>
    <row r="332" spans="1:11" ht="15.75" x14ac:dyDescent="0.25">
      <c r="A332" s="5" t="s">
        <v>19</v>
      </c>
      <c r="B332" s="3" t="s">
        <v>961</v>
      </c>
      <c r="C332" s="6" t="s">
        <v>408</v>
      </c>
      <c r="D332" s="3" t="s">
        <v>33</v>
      </c>
      <c r="K332" s="25">
        <f t="shared" si="6"/>
        <v>1</v>
      </c>
    </row>
    <row r="333" spans="1:11" ht="15.75" x14ac:dyDescent="0.25">
      <c r="A333" s="5" t="s">
        <v>19</v>
      </c>
      <c r="B333" s="3" t="s">
        <v>962</v>
      </c>
      <c r="C333" s="6" t="s">
        <v>409</v>
      </c>
      <c r="D333" s="3" t="s">
        <v>49</v>
      </c>
      <c r="K333" s="25">
        <f t="shared" si="6"/>
        <v>1</v>
      </c>
    </row>
    <row r="334" spans="1:11" ht="15.75" x14ac:dyDescent="0.25">
      <c r="A334" s="5" t="s">
        <v>19</v>
      </c>
      <c r="B334" s="3" t="s">
        <v>963</v>
      </c>
      <c r="C334" s="6" t="s">
        <v>410</v>
      </c>
      <c r="D334" s="3" t="s">
        <v>69</v>
      </c>
      <c r="K334" s="25">
        <f t="shared" si="6"/>
        <v>2</v>
      </c>
    </row>
    <row r="335" spans="1:11" ht="15.75" x14ac:dyDescent="0.25">
      <c r="A335" s="5" t="s">
        <v>19</v>
      </c>
      <c r="B335" s="3" t="s">
        <v>964</v>
      </c>
      <c r="C335" s="6" t="s">
        <v>412</v>
      </c>
      <c r="D335" s="3" t="s">
        <v>582</v>
      </c>
      <c r="K335" s="25">
        <f t="shared" si="6"/>
        <v>4</v>
      </c>
    </row>
    <row r="336" spans="1:11" ht="15.75" x14ac:dyDescent="0.25">
      <c r="A336" s="5" t="s">
        <v>19</v>
      </c>
      <c r="B336" s="3" t="s">
        <v>965</v>
      </c>
      <c r="C336" s="6" t="s">
        <v>413</v>
      </c>
      <c r="D336" s="3" t="s">
        <v>102</v>
      </c>
      <c r="K336" s="25">
        <f t="shared" si="6"/>
        <v>1</v>
      </c>
    </row>
    <row r="337" spans="1:11" ht="15.75" x14ac:dyDescent="0.25">
      <c r="A337" s="5" t="s">
        <v>19</v>
      </c>
      <c r="B337" s="3" t="s">
        <v>966</v>
      </c>
      <c r="C337" s="6" t="s">
        <v>967</v>
      </c>
      <c r="D337" s="3" t="s">
        <v>38</v>
      </c>
      <c r="K337" s="25">
        <f t="shared" si="6"/>
        <v>1</v>
      </c>
    </row>
    <row r="338" spans="1:11" ht="15.75" x14ac:dyDescent="0.25">
      <c r="A338" s="5" t="s">
        <v>19</v>
      </c>
      <c r="B338" s="3" t="s">
        <v>987</v>
      </c>
      <c r="C338" s="6" t="s">
        <v>414</v>
      </c>
      <c r="D338" s="3" t="s">
        <v>580</v>
      </c>
      <c r="K338" s="25">
        <f t="shared" si="6"/>
        <v>2</v>
      </c>
    </row>
    <row r="339" spans="1:11" ht="15.75" x14ac:dyDescent="0.25">
      <c r="A339" s="5" t="s">
        <v>19</v>
      </c>
      <c r="B339" s="3" t="s">
        <v>968</v>
      </c>
      <c r="C339" s="6" t="s">
        <v>415</v>
      </c>
      <c r="D339" s="3" t="s">
        <v>28</v>
      </c>
      <c r="K339" s="25">
        <f t="shared" si="6"/>
        <v>2</v>
      </c>
    </row>
    <row r="340" spans="1:11" ht="15.75" x14ac:dyDescent="0.25">
      <c r="A340" s="5" t="s">
        <v>19</v>
      </c>
      <c r="B340" s="3" t="s">
        <v>810</v>
      </c>
      <c r="C340" s="6" t="s">
        <v>416</v>
      </c>
      <c r="D340" s="3" t="s">
        <v>123</v>
      </c>
      <c r="K340" s="25">
        <f t="shared" si="6"/>
        <v>3</v>
      </c>
    </row>
    <row r="341" spans="1:11" ht="15.75" x14ac:dyDescent="0.25">
      <c r="A341" s="5" t="s">
        <v>19</v>
      </c>
      <c r="B341" s="3" t="s">
        <v>969</v>
      </c>
      <c r="C341" s="6" t="s">
        <v>417</v>
      </c>
      <c r="D341" s="3" t="s">
        <v>704</v>
      </c>
      <c r="K341" s="25">
        <f t="shared" si="6"/>
        <v>2</v>
      </c>
    </row>
    <row r="342" spans="1:11" ht="15.75" x14ac:dyDescent="0.25">
      <c r="A342" s="5" t="s">
        <v>19</v>
      </c>
      <c r="B342" s="3" t="s">
        <v>147</v>
      </c>
      <c r="C342" s="6" t="s">
        <v>418</v>
      </c>
      <c r="D342" s="3" t="s">
        <v>146</v>
      </c>
      <c r="K342" s="25">
        <f t="shared" si="6"/>
        <v>1</v>
      </c>
    </row>
    <row r="343" spans="1:11" ht="15.75" x14ac:dyDescent="0.25">
      <c r="A343" s="5" t="s">
        <v>19</v>
      </c>
      <c r="B343" s="3" t="s">
        <v>970</v>
      </c>
      <c r="C343" s="6" t="s">
        <v>419</v>
      </c>
      <c r="D343" s="3" t="s">
        <v>145</v>
      </c>
      <c r="K343" s="25">
        <f t="shared" si="6"/>
        <v>2</v>
      </c>
    </row>
    <row r="344" spans="1:11" ht="15.75" x14ac:dyDescent="0.25">
      <c r="A344" s="5" t="s">
        <v>19</v>
      </c>
      <c r="B344" s="3" t="s">
        <v>971</v>
      </c>
      <c r="C344" s="6" t="s">
        <v>420</v>
      </c>
      <c r="D344" s="3" t="s">
        <v>38</v>
      </c>
      <c r="K344" s="25">
        <f t="shared" si="6"/>
        <v>1</v>
      </c>
    </row>
    <row r="345" spans="1:11" ht="15.75" x14ac:dyDescent="0.25">
      <c r="A345" s="5" t="s">
        <v>19</v>
      </c>
      <c r="B345" s="3" t="s">
        <v>148</v>
      </c>
      <c r="C345" s="6" t="s">
        <v>421</v>
      </c>
      <c r="D345" s="3" t="s">
        <v>576</v>
      </c>
      <c r="K345" s="25">
        <f t="shared" si="6"/>
        <v>2</v>
      </c>
    </row>
    <row r="346" spans="1:11" ht="15.75" x14ac:dyDescent="0.25">
      <c r="A346" s="5" t="s">
        <v>19</v>
      </c>
      <c r="B346" s="3" t="s">
        <v>972</v>
      </c>
      <c r="C346" s="6" t="s">
        <v>389</v>
      </c>
      <c r="D346" s="3" t="s">
        <v>23</v>
      </c>
      <c r="K346" s="25">
        <f t="shared" si="6"/>
        <v>1</v>
      </c>
    </row>
    <row r="347" spans="1:11" ht="15.75" x14ac:dyDescent="0.25">
      <c r="A347" s="5" t="s">
        <v>19</v>
      </c>
      <c r="B347" s="3" t="s">
        <v>973</v>
      </c>
      <c r="C347" s="6" t="s">
        <v>422</v>
      </c>
      <c r="D347" s="3" t="s">
        <v>149</v>
      </c>
      <c r="K347" s="25">
        <f t="shared" si="6"/>
        <v>2</v>
      </c>
    </row>
    <row r="348" spans="1:11" ht="15.75" x14ac:dyDescent="0.25">
      <c r="A348" s="5" t="s">
        <v>19</v>
      </c>
      <c r="B348" s="3" t="s">
        <v>974</v>
      </c>
      <c r="C348" s="6" t="s">
        <v>423</v>
      </c>
      <c r="D348" s="3" t="s">
        <v>103</v>
      </c>
      <c r="K348" s="25">
        <f t="shared" si="6"/>
        <v>3</v>
      </c>
    </row>
    <row r="349" spans="1:11" ht="15.75" x14ac:dyDescent="0.25">
      <c r="A349" s="5" t="s">
        <v>19</v>
      </c>
      <c r="B349" s="3" t="s">
        <v>975</v>
      </c>
      <c r="C349" s="6" t="s">
        <v>424</v>
      </c>
      <c r="D349" s="3" t="s">
        <v>133</v>
      </c>
      <c r="K349" s="25">
        <f t="shared" si="6"/>
        <v>4</v>
      </c>
    </row>
    <row r="350" spans="1:11" ht="15.75" x14ac:dyDescent="0.25">
      <c r="A350" s="5" t="s">
        <v>19</v>
      </c>
      <c r="B350" s="3" t="s">
        <v>988</v>
      </c>
      <c r="C350" s="6" t="s">
        <v>425</v>
      </c>
      <c r="D350" s="3" t="s">
        <v>58</v>
      </c>
      <c r="K350" s="25">
        <f t="shared" si="6"/>
        <v>1</v>
      </c>
    </row>
    <row r="351" spans="1:11" ht="15.75" x14ac:dyDescent="0.25">
      <c r="A351" s="5" t="s">
        <v>19</v>
      </c>
      <c r="B351" s="3" t="s">
        <v>976</v>
      </c>
      <c r="C351" s="6" t="s">
        <v>985</v>
      </c>
      <c r="D351" s="3" t="s">
        <v>657</v>
      </c>
      <c r="K351" s="25">
        <f t="shared" si="6"/>
        <v>3</v>
      </c>
    </row>
    <row r="352" spans="1:11" ht="15.75" x14ac:dyDescent="0.25">
      <c r="A352" s="16" t="s">
        <v>451</v>
      </c>
      <c r="B352" s="3" t="s">
        <v>1000</v>
      </c>
      <c r="C352" s="18" t="s">
        <v>563</v>
      </c>
      <c r="D352" s="3" t="s">
        <v>562</v>
      </c>
      <c r="K352" s="25">
        <f t="shared" si="6"/>
        <v>1</v>
      </c>
    </row>
    <row r="353" spans="1:11" ht="15.75" x14ac:dyDescent="0.25">
      <c r="A353" s="16" t="s">
        <v>451</v>
      </c>
      <c r="B353" s="3" t="s">
        <v>1001</v>
      </c>
      <c r="C353" s="6" t="s">
        <v>552</v>
      </c>
      <c r="D353" s="3" t="s">
        <v>487</v>
      </c>
      <c r="K353" s="25">
        <f t="shared" si="6"/>
        <v>1</v>
      </c>
    </row>
    <row r="354" spans="1:11" ht="15.75" x14ac:dyDescent="0.25">
      <c r="A354" s="16" t="s">
        <v>451</v>
      </c>
      <c r="B354" s="3" t="s">
        <v>1002</v>
      </c>
      <c r="C354" s="6" t="s">
        <v>514</v>
      </c>
      <c r="D354" s="3" t="s">
        <v>456</v>
      </c>
      <c r="K354" s="25">
        <f t="shared" si="6"/>
        <v>1</v>
      </c>
    </row>
    <row r="355" spans="1:11" ht="15.75" x14ac:dyDescent="0.25">
      <c r="A355" s="16" t="s">
        <v>451</v>
      </c>
      <c r="B355" s="3" t="s">
        <v>464</v>
      </c>
      <c r="C355" s="17" t="s">
        <v>535</v>
      </c>
      <c r="D355" s="3" t="s">
        <v>471</v>
      </c>
      <c r="K355" s="25">
        <f t="shared" si="6"/>
        <v>3</v>
      </c>
    </row>
    <row r="356" spans="1:11" ht="15.75" x14ac:dyDescent="0.25">
      <c r="A356" s="16" t="s">
        <v>451</v>
      </c>
      <c r="B356" s="3" t="s">
        <v>452</v>
      </c>
      <c r="C356" s="6" t="s">
        <v>516</v>
      </c>
      <c r="D356" s="3" t="s">
        <v>483</v>
      </c>
      <c r="K356" s="25">
        <f t="shared" si="6"/>
        <v>3</v>
      </c>
    </row>
    <row r="357" spans="1:11" ht="15.75" x14ac:dyDescent="0.25">
      <c r="A357" s="16" t="s">
        <v>451</v>
      </c>
      <c r="B357" s="3" t="s">
        <v>527</v>
      </c>
      <c r="C357" s="6" t="s">
        <v>528</v>
      </c>
      <c r="D357" s="3" t="s">
        <v>634</v>
      </c>
      <c r="K357" s="25">
        <f t="shared" si="6"/>
        <v>2</v>
      </c>
    </row>
    <row r="358" spans="1:11" ht="15.75" x14ac:dyDescent="0.25">
      <c r="A358" s="16" t="s">
        <v>451</v>
      </c>
      <c r="B358" s="3" t="s">
        <v>458</v>
      </c>
      <c r="C358" s="6" t="s">
        <v>523</v>
      </c>
      <c r="D358" s="3" t="s">
        <v>482</v>
      </c>
      <c r="K358" s="25">
        <f t="shared" si="6"/>
        <v>2</v>
      </c>
    </row>
    <row r="359" spans="1:11" ht="15.75" x14ac:dyDescent="0.25">
      <c r="A359" s="16" t="s">
        <v>451</v>
      </c>
      <c r="B359" s="3" t="s">
        <v>1003</v>
      </c>
      <c r="C359" s="6" t="s">
        <v>543</v>
      </c>
      <c r="D359" s="3" t="s">
        <v>50</v>
      </c>
      <c r="K359" s="25">
        <f t="shared" si="6"/>
        <v>1</v>
      </c>
    </row>
    <row r="360" spans="1:11" ht="15.75" x14ac:dyDescent="0.25">
      <c r="A360" s="16" t="s">
        <v>451</v>
      </c>
      <c r="B360" s="3" t="s">
        <v>1004</v>
      </c>
      <c r="C360" s="6" t="s">
        <v>537</v>
      </c>
      <c r="D360" s="3" t="s">
        <v>470</v>
      </c>
      <c r="K360" s="25">
        <f t="shared" si="6"/>
        <v>2</v>
      </c>
    </row>
    <row r="361" spans="1:11" ht="15.75" x14ac:dyDescent="0.25">
      <c r="A361" s="16" t="s">
        <v>451</v>
      </c>
      <c r="B361" s="3" t="s">
        <v>977</v>
      </c>
      <c r="C361" s="6" t="s">
        <v>517</v>
      </c>
      <c r="D361" s="3" t="s">
        <v>476</v>
      </c>
      <c r="K361" s="25">
        <f t="shared" si="6"/>
        <v>4</v>
      </c>
    </row>
    <row r="362" spans="1:11" ht="15.75" x14ac:dyDescent="0.25">
      <c r="A362" s="16" t="s">
        <v>451</v>
      </c>
      <c r="B362" s="3" t="s">
        <v>457</v>
      </c>
      <c r="C362" s="6" t="s">
        <v>522</v>
      </c>
      <c r="D362" s="3" t="s">
        <v>480</v>
      </c>
      <c r="K362" s="25">
        <f t="shared" si="6"/>
        <v>4</v>
      </c>
    </row>
    <row r="363" spans="1:11" ht="15.75" x14ac:dyDescent="0.25">
      <c r="A363" s="16" t="s">
        <v>451</v>
      </c>
      <c r="B363" s="3" t="s">
        <v>1005</v>
      </c>
      <c r="C363" s="6" t="s">
        <v>533</v>
      </c>
      <c r="D363" s="3" t="s">
        <v>472</v>
      </c>
      <c r="K363" s="25">
        <f t="shared" si="6"/>
        <v>2</v>
      </c>
    </row>
    <row r="364" spans="1:11" ht="15.75" x14ac:dyDescent="0.25">
      <c r="A364" s="16" t="s">
        <v>451</v>
      </c>
      <c r="B364" s="3" t="s">
        <v>1006</v>
      </c>
      <c r="C364" s="6" t="s">
        <v>718</v>
      </c>
      <c r="D364" s="22" t="s">
        <v>719</v>
      </c>
      <c r="K364" s="25">
        <f t="shared" si="6"/>
        <v>1</v>
      </c>
    </row>
    <row r="365" spans="1:11" ht="15.75" x14ac:dyDescent="0.25">
      <c r="A365" s="16" t="s">
        <v>451</v>
      </c>
      <c r="B365" s="3" t="s">
        <v>1007</v>
      </c>
      <c r="C365" s="6" t="s">
        <v>717</v>
      </c>
      <c r="D365" s="22" t="s">
        <v>719</v>
      </c>
      <c r="K365" s="25">
        <f t="shared" si="6"/>
        <v>1</v>
      </c>
    </row>
    <row r="366" spans="1:11" ht="15.75" x14ac:dyDescent="0.25">
      <c r="A366" s="16" t="s">
        <v>451</v>
      </c>
      <c r="B366" s="3" t="s">
        <v>459</v>
      </c>
      <c r="C366" s="6" t="s">
        <v>524</v>
      </c>
      <c r="D366" s="3" t="s">
        <v>481</v>
      </c>
      <c r="K366" s="25">
        <f t="shared" si="6"/>
        <v>5</v>
      </c>
    </row>
    <row r="367" spans="1:11" ht="15.75" x14ac:dyDescent="0.25">
      <c r="A367" s="16" t="s">
        <v>451</v>
      </c>
      <c r="B367" s="3" t="s">
        <v>1008</v>
      </c>
      <c r="C367" s="6" t="s">
        <v>515</v>
      </c>
      <c r="D367" s="3" t="s">
        <v>492</v>
      </c>
      <c r="K367" s="25">
        <f t="shared" si="6"/>
        <v>4</v>
      </c>
    </row>
    <row r="368" spans="1:11" ht="15.75" x14ac:dyDescent="0.25">
      <c r="A368" s="16" t="s">
        <v>451</v>
      </c>
      <c r="B368" s="3" t="s">
        <v>1009</v>
      </c>
      <c r="C368" s="6" t="s">
        <v>521</v>
      </c>
      <c r="D368" s="3" t="s">
        <v>486</v>
      </c>
      <c r="K368" s="25">
        <f t="shared" si="6"/>
        <v>4</v>
      </c>
    </row>
    <row r="369" spans="1:11" ht="15.75" x14ac:dyDescent="0.25">
      <c r="A369" s="16" t="s">
        <v>451</v>
      </c>
      <c r="B369" s="3" t="s">
        <v>1010</v>
      </c>
      <c r="C369" s="6" t="s">
        <v>539</v>
      </c>
      <c r="D369" s="3" t="s">
        <v>27</v>
      </c>
      <c r="K369" s="25">
        <f t="shared" si="6"/>
        <v>1</v>
      </c>
    </row>
    <row r="370" spans="1:11" ht="15.75" x14ac:dyDescent="0.25">
      <c r="A370" s="16" t="s">
        <v>451</v>
      </c>
      <c r="B370" s="3" t="s">
        <v>1011</v>
      </c>
      <c r="C370" s="6" t="s">
        <v>545</v>
      </c>
      <c r="D370" s="3" t="s">
        <v>50</v>
      </c>
      <c r="K370" s="25">
        <f t="shared" si="6"/>
        <v>1</v>
      </c>
    </row>
    <row r="371" spans="1:11" ht="15.75" x14ac:dyDescent="0.25">
      <c r="A371" s="16" t="s">
        <v>451</v>
      </c>
      <c r="B371" s="3" t="s">
        <v>1012</v>
      </c>
      <c r="C371" s="6" t="s">
        <v>554</v>
      </c>
      <c r="D371" s="3" t="s">
        <v>487</v>
      </c>
      <c r="K371" s="25">
        <f t="shared" si="6"/>
        <v>1</v>
      </c>
    </row>
    <row r="372" spans="1:11" ht="15.75" x14ac:dyDescent="0.25">
      <c r="A372" s="16" t="s">
        <v>451</v>
      </c>
      <c r="B372" s="3" t="s">
        <v>1013</v>
      </c>
      <c r="C372" s="6" t="s">
        <v>550</v>
      </c>
      <c r="D372" s="3" t="s">
        <v>694</v>
      </c>
      <c r="K372" s="25">
        <f t="shared" si="6"/>
        <v>2</v>
      </c>
    </row>
    <row r="373" spans="1:11" ht="15.75" x14ac:dyDescent="0.25">
      <c r="A373" s="16" t="s">
        <v>451</v>
      </c>
      <c r="B373" s="3" t="s">
        <v>454</v>
      </c>
      <c r="C373" s="6" t="s">
        <v>513</v>
      </c>
      <c r="D373" s="3" t="s">
        <v>635</v>
      </c>
      <c r="K373" s="25">
        <f t="shared" si="6"/>
        <v>2</v>
      </c>
    </row>
    <row r="374" spans="1:11" ht="15.75" x14ac:dyDescent="0.25">
      <c r="A374" s="16" t="s">
        <v>451</v>
      </c>
      <c r="B374" s="3" t="s">
        <v>978</v>
      </c>
      <c r="C374" s="6" t="s">
        <v>518</v>
      </c>
      <c r="D374" s="3" t="s">
        <v>114</v>
      </c>
      <c r="K374" s="25">
        <f t="shared" si="6"/>
        <v>1</v>
      </c>
    </row>
    <row r="375" spans="1:11" ht="15.75" x14ac:dyDescent="0.25">
      <c r="A375" s="16" t="s">
        <v>451</v>
      </c>
      <c r="B375" s="3" t="s">
        <v>461</v>
      </c>
      <c r="C375" s="6" t="s">
        <v>531</v>
      </c>
      <c r="D375" s="3" t="s">
        <v>463</v>
      </c>
      <c r="K375" s="25">
        <f t="shared" si="6"/>
        <v>1</v>
      </c>
    </row>
    <row r="376" spans="1:11" ht="15.75" x14ac:dyDescent="0.25">
      <c r="A376" s="16" t="s">
        <v>451</v>
      </c>
      <c r="B376" s="3" t="s">
        <v>465</v>
      </c>
      <c r="C376" s="6" t="s">
        <v>536</v>
      </c>
      <c r="D376" s="3" t="s">
        <v>468</v>
      </c>
      <c r="K376" s="25">
        <f t="shared" si="6"/>
        <v>3</v>
      </c>
    </row>
    <row r="377" spans="1:11" ht="15.75" x14ac:dyDescent="0.25">
      <c r="A377" s="16" t="s">
        <v>451</v>
      </c>
      <c r="B377" s="3" t="s">
        <v>460</v>
      </c>
      <c r="C377" s="6" t="s">
        <v>525</v>
      </c>
      <c r="D377" s="3" t="s">
        <v>466</v>
      </c>
      <c r="K377" s="25">
        <f t="shared" si="6"/>
        <v>2</v>
      </c>
    </row>
    <row r="378" spans="1:11" ht="15.75" x14ac:dyDescent="0.25">
      <c r="A378" s="16" t="s">
        <v>451</v>
      </c>
      <c r="B378" s="3" t="s">
        <v>713</v>
      </c>
      <c r="C378" s="6" t="s">
        <v>714</v>
      </c>
      <c r="D378" s="20">
        <v>45907</v>
      </c>
      <c r="K378" s="25">
        <f t="shared" si="6"/>
        <v>1</v>
      </c>
    </row>
    <row r="379" spans="1:11" ht="15.75" x14ac:dyDescent="0.25">
      <c r="A379" s="16" t="s">
        <v>451</v>
      </c>
      <c r="B379" s="3" t="s">
        <v>1014</v>
      </c>
      <c r="C379" s="6" t="s">
        <v>512</v>
      </c>
      <c r="D379" s="3" t="s">
        <v>561</v>
      </c>
      <c r="K379" s="25">
        <f t="shared" si="6"/>
        <v>9</v>
      </c>
    </row>
    <row r="380" spans="1:11" ht="15.75" x14ac:dyDescent="0.25">
      <c r="A380" s="16" t="s">
        <v>451</v>
      </c>
      <c r="B380" s="3" t="s">
        <v>1015</v>
      </c>
      <c r="C380" s="6" t="s">
        <v>538</v>
      </c>
      <c r="D380" s="3" t="s">
        <v>467</v>
      </c>
      <c r="K380" s="25">
        <f t="shared" si="6"/>
        <v>1</v>
      </c>
    </row>
    <row r="381" spans="1:11" ht="15.75" x14ac:dyDescent="0.25">
      <c r="A381" s="16" t="s">
        <v>451</v>
      </c>
      <c r="B381" s="3" t="s">
        <v>716</v>
      </c>
      <c r="C381" s="6" t="s">
        <v>715</v>
      </c>
      <c r="D381" s="20">
        <v>45907</v>
      </c>
      <c r="K381" s="25">
        <f t="shared" si="6"/>
        <v>1</v>
      </c>
    </row>
    <row r="382" spans="1:11" ht="15.75" x14ac:dyDescent="0.25">
      <c r="A382" s="16" t="s">
        <v>451</v>
      </c>
      <c r="B382" s="3" t="s">
        <v>1016</v>
      </c>
      <c r="C382" s="6" t="s">
        <v>526</v>
      </c>
      <c r="D382" s="3" t="s">
        <v>485</v>
      </c>
      <c r="K382" s="25">
        <f t="shared" ref="K382:K412" si="7">LEN(D382)-LEN(SUBSTITUTE(D382,",",""))+1</f>
        <v>2</v>
      </c>
    </row>
    <row r="383" spans="1:11" ht="15.75" x14ac:dyDescent="0.25">
      <c r="A383" s="16" t="s">
        <v>451</v>
      </c>
      <c r="B383" s="3" t="s">
        <v>979</v>
      </c>
      <c r="C383" s="6" t="s">
        <v>720</v>
      </c>
      <c r="D383" s="22" t="s">
        <v>719</v>
      </c>
      <c r="K383" s="25">
        <f t="shared" si="7"/>
        <v>1</v>
      </c>
    </row>
    <row r="384" spans="1:11" ht="15.75" x14ac:dyDescent="0.25">
      <c r="A384" s="16" t="s">
        <v>451</v>
      </c>
      <c r="B384" s="3" t="s">
        <v>1017</v>
      </c>
      <c r="C384" s="7" t="s">
        <v>547</v>
      </c>
      <c r="D384" s="3" t="s">
        <v>55</v>
      </c>
      <c r="K384" s="25">
        <f t="shared" si="7"/>
        <v>1</v>
      </c>
    </row>
    <row r="385" spans="1:11" ht="15.75" x14ac:dyDescent="0.25">
      <c r="A385" s="16" t="s">
        <v>451</v>
      </c>
      <c r="B385" s="3" t="s">
        <v>1018</v>
      </c>
      <c r="C385" s="6" t="s">
        <v>529</v>
      </c>
      <c r="D385" s="3" t="s">
        <v>473</v>
      </c>
      <c r="K385" s="25">
        <f t="shared" si="7"/>
        <v>2</v>
      </c>
    </row>
    <row r="386" spans="1:11" ht="15.75" x14ac:dyDescent="0.25">
      <c r="A386" s="16" t="s">
        <v>451</v>
      </c>
      <c r="B386" s="3" t="s">
        <v>1019</v>
      </c>
      <c r="C386" s="6" t="s">
        <v>544</v>
      </c>
      <c r="D386" s="3" t="s">
        <v>50</v>
      </c>
      <c r="K386" s="25">
        <f t="shared" si="7"/>
        <v>1</v>
      </c>
    </row>
    <row r="387" spans="1:11" ht="15.75" x14ac:dyDescent="0.25">
      <c r="A387" s="16" t="s">
        <v>451</v>
      </c>
      <c r="B387" s="3" t="s">
        <v>1020</v>
      </c>
      <c r="C387" s="6" t="s">
        <v>541</v>
      </c>
      <c r="D387" s="3" t="s">
        <v>479</v>
      </c>
      <c r="K387" s="25">
        <f t="shared" si="7"/>
        <v>1</v>
      </c>
    </row>
    <row r="388" spans="1:11" ht="15.75" x14ac:dyDescent="0.25">
      <c r="A388" s="16" t="s">
        <v>451</v>
      </c>
      <c r="B388" s="3" t="s">
        <v>1021</v>
      </c>
      <c r="C388" s="6" t="s">
        <v>553</v>
      </c>
      <c r="D388" s="3" t="s">
        <v>487</v>
      </c>
      <c r="K388" s="25">
        <f t="shared" si="7"/>
        <v>1</v>
      </c>
    </row>
    <row r="389" spans="1:11" ht="15.75" x14ac:dyDescent="0.25">
      <c r="A389" s="16" t="s">
        <v>451</v>
      </c>
      <c r="B389" s="3" t="s">
        <v>1022</v>
      </c>
      <c r="C389" s="6" t="s">
        <v>530</v>
      </c>
      <c r="D389" s="3" t="s">
        <v>463</v>
      </c>
      <c r="K389" s="25">
        <f t="shared" si="7"/>
        <v>1</v>
      </c>
    </row>
    <row r="390" spans="1:11" ht="15.75" x14ac:dyDescent="0.25">
      <c r="A390" s="16" t="s">
        <v>451</v>
      </c>
      <c r="B390" s="3" t="s">
        <v>1023</v>
      </c>
      <c r="C390" s="6" t="s">
        <v>555</v>
      </c>
      <c r="D390" s="3" t="s">
        <v>487</v>
      </c>
      <c r="K390" s="25">
        <f t="shared" si="7"/>
        <v>1</v>
      </c>
    </row>
    <row r="391" spans="1:11" ht="15.75" x14ac:dyDescent="0.25">
      <c r="A391" s="16" t="s">
        <v>451</v>
      </c>
      <c r="B391" s="3" t="s">
        <v>1024</v>
      </c>
      <c r="C391" s="6" t="s">
        <v>546</v>
      </c>
      <c r="D391" s="3" t="s">
        <v>55</v>
      </c>
      <c r="K391" s="25">
        <f t="shared" si="7"/>
        <v>1</v>
      </c>
    </row>
    <row r="392" spans="1:11" ht="15.75" x14ac:dyDescent="0.25">
      <c r="A392" s="16" t="s">
        <v>451</v>
      </c>
      <c r="B392" s="3" t="s">
        <v>1025</v>
      </c>
      <c r="C392" s="6" t="s">
        <v>548</v>
      </c>
      <c r="D392" s="3" t="s">
        <v>487</v>
      </c>
      <c r="K392" s="25">
        <f t="shared" si="7"/>
        <v>1</v>
      </c>
    </row>
    <row r="393" spans="1:11" ht="15.75" x14ac:dyDescent="0.25">
      <c r="A393" s="16" t="s">
        <v>451</v>
      </c>
      <c r="B393" s="3" t="s">
        <v>484</v>
      </c>
      <c r="C393" s="6" t="s">
        <v>542</v>
      </c>
      <c r="D393" s="3" t="s">
        <v>50</v>
      </c>
      <c r="K393" s="25">
        <f t="shared" si="7"/>
        <v>1</v>
      </c>
    </row>
    <row r="394" spans="1:11" ht="15.75" x14ac:dyDescent="0.25">
      <c r="A394" s="16" t="s">
        <v>451</v>
      </c>
      <c r="B394" s="3" t="s">
        <v>1026</v>
      </c>
      <c r="C394" s="6" t="s">
        <v>549</v>
      </c>
      <c r="D394" s="3" t="s">
        <v>487</v>
      </c>
      <c r="K394" s="25">
        <f t="shared" si="7"/>
        <v>1</v>
      </c>
    </row>
    <row r="395" spans="1:11" ht="15.75" x14ac:dyDescent="0.25">
      <c r="A395" s="16" t="s">
        <v>451</v>
      </c>
      <c r="B395" s="3" t="s">
        <v>462</v>
      </c>
      <c r="C395" s="6" t="s">
        <v>532</v>
      </c>
      <c r="D395" s="3" t="s">
        <v>472</v>
      </c>
      <c r="K395" s="25">
        <f t="shared" si="7"/>
        <v>2</v>
      </c>
    </row>
    <row r="396" spans="1:11" ht="15.75" x14ac:dyDescent="0.25">
      <c r="A396" s="16" t="s">
        <v>451</v>
      </c>
      <c r="B396" s="3" t="s">
        <v>1027</v>
      </c>
      <c r="C396" s="6" t="s">
        <v>556</v>
      </c>
      <c r="D396" s="3" t="s">
        <v>487</v>
      </c>
      <c r="K396" s="25">
        <f t="shared" si="7"/>
        <v>1</v>
      </c>
    </row>
    <row r="397" spans="1:11" ht="15.75" x14ac:dyDescent="0.25">
      <c r="A397" s="16" t="s">
        <v>451</v>
      </c>
      <c r="B397" s="3" t="s">
        <v>1028</v>
      </c>
      <c r="C397" s="6" t="s">
        <v>551</v>
      </c>
      <c r="D397" s="3" t="s">
        <v>487</v>
      </c>
      <c r="K397" s="25">
        <f t="shared" si="7"/>
        <v>1</v>
      </c>
    </row>
    <row r="398" spans="1:11" ht="15.75" x14ac:dyDescent="0.25">
      <c r="A398" s="16" t="s">
        <v>451</v>
      </c>
      <c r="B398" s="3" t="s">
        <v>1029</v>
      </c>
      <c r="C398" s="6" t="s">
        <v>534</v>
      </c>
      <c r="D398" s="3" t="s">
        <v>469</v>
      </c>
      <c r="K398" s="25">
        <f t="shared" si="7"/>
        <v>4</v>
      </c>
    </row>
    <row r="399" spans="1:11" ht="15.75" x14ac:dyDescent="0.25">
      <c r="A399" s="16" t="s">
        <v>451</v>
      </c>
      <c r="B399" s="3" t="s">
        <v>721</v>
      </c>
      <c r="C399" s="6" t="s">
        <v>722</v>
      </c>
      <c r="D399" s="22" t="s">
        <v>719</v>
      </c>
      <c r="K399" s="25">
        <f t="shared" si="7"/>
        <v>1</v>
      </c>
    </row>
    <row r="400" spans="1:11" ht="15.75" x14ac:dyDescent="0.25">
      <c r="A400" s="16" t="s">
        <v>451</v>
      </c>
      <c r="B400" s="3" t="s">
        <v>455</v>
      </c>
      <c r="C400" s="6" t="s">
        <v>474</v>
      </c>
      <c r="D400" s="3" t="s">
        <v>456</v>
      </c>
      <c r="K400" s="25">
        <f t="shared" si="7"/>
        <v>1</v>
      </c>
    </row>
    <row r="401" spans="1:11" ht="15.75" x14ac:dyDescent="0.25">
      <c r="A401" s="16" t="s">
        <v>451</v>
      </c>
      <c r="B401" s="3" t="s">
        <v>475</v>
      </c>
      <c r="C401" s="6" t="s">
        <v>474</v>
      </c>
      <c r="D401" s="3" t="s">
        <v>23</v>
      </c>
      <c r="K401" s="25">
        <f t="shared" si="7"/>
        <v>1</v>
      </c>
    </row>
    <row r="402" spans="1:11" ht="15.75" x14ac:dyDescent="0.25">
      <c r="A402" s="16" t="s">
        <v>451</v>
      </c>
      <c r="B402" s="3" t="s">
        <v>520</v>
      </c>
      <c r="C402" s="6" t="s">
        <v>519</v>
      </c>
      <c r="D402" s="3" t="s">
        <v>66</v>
      </c>
      <c r="K402" s="25">
        <f t="shared" si="7"/>
        <v>1</v>
      </c>
    </row>
    <row r="403" spans="1:11" ht="15.75" x14ac:dyDescent="0.25">
      <c r="A403" s="16" t="s">
        <v>451</v>
      </c>
      <c r="B403" s="3" t="s">
        <v>1060</v>
      </c>
      <c r="C403" s="6" t="s">
        <v>540</v>
      </c>
      <c r="D403" s="3" t="s">
        <v>600</v>
      </c>
      <c r="K403" s="25">
        <f t="shared" si="7"/>
        <v>2</v>
      </c>
    </row>
    <row r="404" spans="1:11" ht="15.75" x14ac:dyDescent="0.25">
      <c r="A404" s="16" t="s">
        <v>453</v>
      </c>
      <c r="B404" s="3" t="s">
        <v>629</v>
      </c>
      <c r="C404" s="6" t="s">
        <v>630</v>
      </c>
      <c r="D404" s="21">
        <v>45901</v>
      </c>
      <c r="K404" s="25">
        <f t="shared" si="7"/>
        <v>1</v>
      </c>
    </row>
    <row r="405" spans="1:11" ht="15.75" x14ac:dyDescent="0.25">
      <c r="A405" s="16" t="s">
        <v>453</v>
      </c>
      <c r="B405" s="3" t="s">
        <v>729</v>
      </c>
      <c r="C405" s="6" t="s">
        <v>730</v>
      </c>
      <c r="D405" s="23" t="s">
        <v>719</v>
      </c>
      <c r="K405" s="25">
        <f t="shared" si="7"/>
        <v>1</v>
      </c>
    </row>
    <row r="406" spans="1:11" ht="15.75" x14ac:dyDescent="0.25">
      <c r="A406" s="16" t="s">
        <v>453</v>
      </c>
      <c r="B406" s="3"/>
      <c r="C406" s="6" t="s">
        <v>477</v>
      </c>
      <c r="D406" s="3" t="s">
        <v>478</v>
      </c>
      <c r="K406" s="25">
        <f t="shared" si="7"/>
        <v>1</v>
      </c>
    </row>
    <row r="407" spans="1:11" ht="15.75" x14ac:dyDescent="0.25">
      <c r="A407" s="16" t="s">
        <v>453</v>
      </c>
      <c r="B407" s="3" t="s">
        <v>1030</v>
      </c>
      <c r="C407" s="6" t="s">
        <v>558</v>
      </c>
      <c r="D407" s="3" t="s">
        <v>55</v>
      </c>
      <c r="K407" s="25">
        <f t="shared" si="7"/>
        <v>1</v>
      </c>
    </row>
    <row r="408" spans="1:11" ht="15.75" x14ac:dyDescent="0.25">
      <c r="A408" s="16" t="s">
        <v>453</v>
      </c>
      <c r="B408" s="3" t="s">
        <v>732</v>
      </c>
      <c r="C408" s="6" t="s">
        <v>731</v>
      </c>
      <c r="D408" s="24" t="s">
        <v>719</v>
      </c>
      <c r="K408" s="25">
        <f t="shared" si="7"/>
        <v>1</v>
      </c>
    </row>
    <row r="409" spans="1:11" ht="15.75" x14ac:dyDescent="0.25">
      <c r="A409" s="16" t="s">
        <v>453</v>
      </c>
      <c r="B409" s="3" t="s">
        <v>1031</v>
      </c>
      <c r="C409" s="6" t="s">
        <v>557</v>
      </c>
      <c r="D409" s="3" t="s">
        <v>734</v>
      </c>
      <c r="K409" s="25">
        <f t="shared" ref="K409:K411" si="8">LEN(D409)-LEN(SUBSTITUTE(D409,",",""))+1</f>
        <v>3</v>
      </c>
    </row>
    <row r="410" spans="1:11" ht="15.75" x14ac:dyDescent="0.25">
      <c r="A410" s="16" t="s">
        <v>453</v>
      </c>
      <c r="B410" s="3" t="s">
        <v>1032</v>
      </c>
      <c r="C410" s="6" t="s">
        <v>560</v>
      </c>
      <c r="D410" s="3" t="s">
        <v>55</v>
      </c>
      <c r="K410" s="25">
        <f t="shared" si="8"/>
        <v>1</v>
      </c>
    </row>
    <row r="411" spans="1:11" ht="15.75" x14ac:dyDescent="0.25">
      <c r="A411" s="16" t="s">
        <v>453</v>
      </c>
      <c r="B411" s="3" t="s">
        <v>1033</v>
      </c>
      <c r="C411" s="6" t="s">
        <v>559</v>
      </c>
      <c r="D411" s="3" t="s">
        <v>55</v>
      </c>
      <c r="K411" s="25">
        <f t="shared" si="8"/>
        <v>1</v>
      </c>
    </row>
    <row r="412" spans="1:11" ht="15.75" x14ac:dyDescent="0.25">
      <c r="A412" s="16" t="s">
        <v>453</v>
      </c>
      <c r="B412" s="3" t="s">
        <v>733</v>
      </c>
      <c r="C412" s="6" t="s">
        <v>733</v>
      </c>
      <c r="D412" s="24" t="s">
        <v>719</v>
      </c>
      <c r="K412" s="25">
        <f t="shared" si="7"/>
        <v>1</v>
      </c>
    </row>
  </sheetData>
  <sortState xmlns:xlrd2="http://schemas.microsoft.com/office/spreadsheetml/2017/richdata2" ref="B352:D403">
    <sortCondition ref="B352:B40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38B839D-7B9B-403B-B7DF-B573A07CFE8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Kyraleos</dc:creator>
  <cp:lastModifiedBy>Chris Brugman</cp:lastModifiedBy>
  <dcterms:created xsi:type="dcterms:W3CDTF">2025-06-28T20:26:47Z</dcterms:created>
  <dcterms:modified xsi:type="dcterms:W3CDTF">2025-12-29T20:56:52Z</dcterms:modified>
</cp:coreProperties>
</file>